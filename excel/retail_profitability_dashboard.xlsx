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nalu\Desktop\Profit_Leak_Analysis\excel\"/>
    </mc:Choice>
  </mc:AlternateContent>
  <xr:revisionPtr revIDLastSave="0" documentId="13_ncr:1_{5A7AB209-ED2A-4DE4-A02A-451F7317FC83}" xr6:coauthVersionLast="47" xr6:coauthVersionMax="47" xr10:uidLastSave="{00000000-0000-0000-0000-000000000000}"/>
  <bookViews>
    <workbookView xWindow="-108" yWindow="-108" windowWidth="23256" windowHeight="12456" firstSheet="2" activeTab="5" xr2:uid="{A8B49499-B312-4C25-B5A6-71A7F88790C4}"/>
  </bookViews>
  <sheets>
    <sheet name="01_Executive_Summary" sheetId="1" r:id="rId1"/>
    <sheet name="02_Category_Analysis" sheetId="9" r:id="rId2"/>
    <sheet name="03_Subcategory_Analysis" sheetId="10" r:id="rId3"/>
    <sheet name="05_Discount_Analysis" sheetId="11" r:id="rId4"/>
    <sheet name="06_Regional_Analysis" sheetId="12" r:id="rId5"/>
    <sheet name="07_Dashboard" sheetId="6" r:id="rId6"/>
    <sheet name="City Profit" sheetId="13" state="hidden" r:id="rId7"/>
    <sheet name="Ventas" sheetId="14" state="hidden" r:id="rId8"/>
    <sheet name="Ventas 2026" sheetId="15" state="hidden" r:id="rId9"/>
    <sheet name="Ventas 2025" sheetId="16" state="hidden" r:id="rId10"/>
  </sheets>
  <definedNames>
    <definedName name="DatosExternos_1" localSheetId="2" hidden="1">'03_Subcategory_Analysis'!$A$1:$C$18</definedName>
    <definedName name="DatosExternos_1" localSheetId="3" hidden="1">'05_Discount_Analysis'!$A$1:$C$13</definedName>
    <definedName name="DatosExternos_1" localSheetId="4" hidden="1">'06_Regional_Analysis'!$A$1:$C$5</definedName>
    <definedName name="DatosExternos_1" localSheetId="6" hidden="1">'City Profit'!$A$1:$D$1850</definedName>
    <definedName name="DatosExternos_2" localSheetId="1" hidden="1">'02_Category_Analysis'!$A$1:$A$4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6" l="1"/>
  <c r="D2" i="1"/>
  <c r="J5" i="6"/>
  <c r="F5" i="6"/>
  <c r="B5" i="6"/>
  <c r="F1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BE407E-D3D5-4EB5-B898-B61685663EBD}" keepAlive="1" name="Consulta - Discount" description="Conexión a la consulta 'Discount' en el libro." type="5" refreshedVersion="8" background="1" saveData="1">
    <dbPr connection="Provider=Microsoft.Mashup.OleDb.1;Data Source=$Workbook$;Location=Discount;Extended Properties=&quot;&quot;" command="SELECT * FROM [Discount]"/>
  </connection>
  <connection id="2" xr16:uid="{9EBDAB82-2B8F-4082-A203-9CB260B43709}" keepAlive="1" name="Consulta - MargenProfit" description="Conexión a la consulta 'MargenProfit' en el libro." type="5" refreshedVersion="8" background="1" saveData="1">
    <dbPr connection="Provider=Microsoft.Mashup.OleDb.1;Data Source=$Workbook$;Location=MargenProfit;Extended Properties=&quot;&quot;" command="SELECT * FROM [MargenProfit]"/>
  </connection>
  <connection id="3" xr16:uid="{7781AE20-ADC9-4794-AA03-E73C80BE7B8C}" keepAlive="1" name="Consulta - ProductoCiudad" description="Conexión a la consulta 'ProductoCiudad' en el libro." type="5" refreshedVersion="8" background="1" saveData="1">
    <dbPr connection="Provider=Microsoft.Mashup.OleDb.1;Data Source=$Workbook$;Location=ProductoCiudad;Extended Properties=&quot;&quot;" command="SELECT * FROM [ProductoCiudad]"/>
  </connection>
  <connection id="4" xr16:uid="{07F51E24-7716-477C-B6CE-A2C6017175AC}" keepAlive="1" name="Consulta - ProfitCategory" description="Conexión a la consulta 'ProfitCategory' en el libro." type="5" refreshedVersion="0" background="1">
    <dbPr connection="Provider=Microsoft.Mashup.OleDb.1;Data Source=$Workbook$;Location=ProfitCategory;Extended Properties=&quot;&quot;" command="SELECT * FROM [ProfitCategory]"/>
  </connection>
  <connection id="5" xr16:uid="{F502CB53-6628-4E02-8C55-3E9BCF760762}" keepAlive="1" name="Consulta - ProfitCategory (2)" description="Conexión a la consulta 'ProfitCategory (2)' en el libro." type="5" refreshedVersion="8" background="1" saveData="1">
    <dbPr connection="Provider=Microsoft.Mashup.OleDb.1;Data Source=$Workbook$;Location=&quot;ProfitCategory (2)&quot;;Extended Properties=&quot;&quot;" command="SELECT * FROM [ProfitCategory (2)]"/>
  </connection>
  <connection id="6" xr16:uid="{781AEBFC-370E-47F0-853C-5F546A1C79D1}" keepAlive="1" name="Consulta - Regiones" description="Conexión a la consulta 'Regiones' en el libro." type="5" refreshedVersion="8" background="1" saveData="1">
    <dbPr connection="Provider=Microsoft.Mashup.OleDb.1;Data Source=$Workbook$;Location=Regiones;Extended Properties=&quot;&quot;" command="SELECT * FROM [Regiones]"/>
  </connection>
</connections>
</file>

<file path=xl/sharedStrings.xml><?xml version="1.0" encoding="utf-8"?>
<sst xmlns="http://schemas.openxmlformats.org/spreadsheetml/2006/main" count="3833" uniqueCount="2219">
  <si>
    <t>Orders</t>
  </si>
  <si>
    <t>Total Sales</t>
  </si>
  <si>
    <t>Total Profit</t>
  </si>
  <si>
    <t>Category</t>
  </si>
  <si>
    <t>Sales</t>
  </si>
  <si>
    <t>Profit</t>
  </si>
  <si>
    <t>Technology</t>
  </si>
  <si>
    <t>Office Supplies</t>
  </si>
  <si>
    <t>Furniture</t>
  </si>
  <si>
    <t>Sub-Category</t>
  </si>
  <si>
    <t>Tables</t>
  </si>
  <si>
    <t>Bookcases</t>
  </si>
  <si>
    <t>Supplies</t>
  </si>
  <si>
    <t>Fasteners</t>
  </si>
  <si>
    <t>Machines</t>
  </si>
  <si>
    <t>Labels</t>
  </si>
  <si>
    <t>Art</t>
  </si>
  <si>
    <t>Envelopes</t>
  </si>
  <si>
    <t>Furnishings</t>
  </si>
  <si>
    <t>Appliances</t>
  </si>
  <si>
    <t>Storage</t>
  </si>
  <si>
    <t>Chairs</t>
  </si>
  <si>
    <t>Binders</t>
  </si>
  <si>
    <t>Paper</t>
  </si>
  <si>
    <t>Accessories</t>
  </si>
  <si>
    <t>Phones</t>
  </si>
  <si>
    <t>Copiers</t>
  </si>
  <si>
    <t>Discount</t>
  </si>
  <si>
    <t>Region</t>
  </si>
  <si>
    <t>Central</t>
  </si>
  <si>
    <t>South</t>
  </si>
  <si>
    <t>East</t>
  </si>
  <si>
    <t>West</t>
  </si>
  <si>
    <t>City</t>
  </si>
  <si>
    <t>ProductName</t>
  </si>
  <si>
    <t>Philadelphia</t>
  </si>
  <si>
    <t>Canon imageCLASS 2200 Advanced Copier</t>
  </si>
  <si>
    <t>Seattle</t>
  </si>
  <si>
    <t>Fellowes PB500 Electric Punch Plastic Comb Binding Machine with Manual Bind</t>
  </si>
  <si>
    <t>Hewlett Packard LaserJet 3310 Copier</t>
  </si>
  <si>
    <t>San Francisco</t>
  </si>
  <si>
    <t>Canon PC1060 Personal Laser Copier</t>
  </si>
  <si>
    <t>Charlotte</t>
  </si>
  <si>
    <t>HP Designjet T520 Inkjet Large Format Printer - 24" Color</t>
  </si>
  <si>
    <t>New York City</t>
  </si>
  <si>
    <t>Ativa V4110MDD Micro-Cut Shredder</t>
  </si>
  <si>
    <t>Lakewood</t>
  </si>
  <si>
    <t>3D Systems Cube Printer, 2nd Generation, Magenta</t>
  </si>
  <si>
    <t>Providence</t>
  </si>
  <si>
    <t>Plantronics Savi W720 Multi-Device Wireless Headset System</t>
  </si>
  <si>
    <t>Minneapolis</t>
  </si>
  <si>
    <t>Ibico EPK-21 Electric Binding System</t>
  </si>
  <si>
    <t>Zebra ZM400 Thermal Label Printer</t>
  </si>
  <si>
    <t>Lakeville</t>
  </si>
  <si>
    <t>Honeywell Enviracaire Portable HEPA Air Cleaner for 17' x 22' Room</t>
  </si>
  <si>
    <t>Fort Worth</t>
  </si>
  <si>
    <t>Hewlett Packard 610 Color Digital Copier / Printer</t>
  </si>
  <si>
    <t>Marion</t>
  </si>
  <si>
    <t>Plantronics CS510 - Over-the-Head monaural Wireless Headset System</t>
  </si>
  <si>
    <t>Canon Imageclass D680 Copier / Fax</t>
  </si>
  <si>
    <t>Virginia Beach</t>
  </si>
  <si>
    <t>Fellowes PB300 Plastic Comb Binding Machine</t>
  </si>
  <si>
    <t>Des Moines</t>
  </si>
  <si>
    <t>Canon PC1080F Personal Copier</t>
  </si>
  <si>
    <t>Ibico Ibimaster 300 Manual Binding System</t>
  </si>
  <si>
    <t>Los Angeles</t>
  </si>
  <si>
    <t>Logitech Z-906 Speaker sys - home theater - 5.1-CH</t>
  </si>
  <si>
    <t>Hampton</t>
  </si>
  <si>
    <t>GBC DocuBind TL300 Electric Binding System</t>
  </si>
  <si>
    <t>Razer Tiamat Over Ear 7.1 Surround Sound PC Gaming Headset</t>
  </si>
  <si>
    <t>Canon PC940 Copier</t>
  </si>
  <si>
    <t>San Diego</t>
  </si>
  <si>
    <t>Sharp AL-1530CS Digital Copier</t>
  </si>
  <si>
    <t>Tampa</t>
  </si>
  <si>
    <t>Hot File 7-Pocket, Floor Stand</t>
  </si>
  <si>
    <t>Canon imageCLASS MF7460 Monochrome Digital Laser Multifunction Copier</t>
  </si>
  <si>
    <t>Henderson</t>
  </si>
  <si>
    <t>Global Deluxe High-Back Manager's Chair</t>
  </si>
  <si>
    <t>Adjustable Depth Letter/Legal Cart</t>
  </si>
  <si>
    <t>Chester</t>
  </si>
  <si>
    <t>Hon Deluxe Fabric Upholstered Stacking Chairs, Rounded Back</t>
  </si>
  <si>
    <t>Samsung Galaxy Mega 6.3</t>
  </si>
  <si>
    <t>Great Falls</t>
  </si>
  <si>
    <t>Canon Image Class D660 Copier</t>
  </si>
  <si>
    <t>Staples</t>
  </si>
  <si>
    <t>Hewlett-Packard Desktjet 6988DT Refurbished Printer</t>
  </si>
  <si>
    <t>Sanyo Counter Height Refrigerator with Crisper, 3.6 Cubic Foot, Stainless Steel/Black</t>
  </si>
  <si>
    <t>Trenton</t>
  </si>
  <si>
    <t>Sharp 1540cs Digital Laser Copier</t>
  </si>
  <si>
    <t>Logitech P710e Mobile Speakerphone</t>
  </si>
  <si>
    <t>Dual Level, Single-Width Filing Carts</t>
  </si>
  <si>
    <t>Cleveland</t>
  </si>
  <si>
    <t>Apple iPhone 5</t>
  </si>
  <si>
    <t>Smyrna</t>
  </si>
  <si>
    <t>GBC DocuBind TL200 Manual Binding Machine</t>
  </si>
  <si>
    <t>Tennsco 6- and 18-Compartment Lockers</t>
  </si>
  <si>
    <t>San Jose</t>
  </si>
  <si>
    <t>Hon Pagoda Stacking Chairs</t>
  </si>
  <si>
    <t>Detroit</t>
  </si>
  <si>
    <t>Dot Matrix Printer Tape Reel Labels, White, 5000/Box</t>
  </si>
  <si>
    <t>Springfield</t>
  </si>
  <si>
    <t>Honeywell Enviracaire Portable HEPA Air Cleaner for 16' x 20' Room</t>
  </si>
  <si>
    <t>Canon PC-428 Personal Copier</t>
  </si>
  <si>
    <t>Mobile</t>
  </si>
  <si>
    <t>Hewlett-Packard Deskjet 3050a All-in-One Color Inkjet Printer</t>
  </si>
  <si>
    <t>Milwaukee</t>
  </si>
  <si>
    <t>Logitech diNovo Edge Keyboard</t>
  </si>
  <si>
    <t>Jacksonville</t>
  </si>
  <si>
    <t>Hon 4070 Series Pagoda Armless Upholstered Stacking Chairs</t>
  </si>
  <si>
    <t>Iceberg Mobile Mega Data/Printer Cart</t>
  </si>
  <si>
    <t>Deluxe Rollaway Locking File with Drawer</t>
  </si>
  <si>
    <t>Bady BDG101FRU Card Printer</t>
  </si>
  <si>
    <t>Madison</t>
  </si>
  <si>
    <t>Office Star - Professional Matrix Back Chair with 2-to-1 Synchro Tilt and Mesh Fabric Seat</t>
  </si>
  <si>
    <t>Hon Olson Stacker Chairs</t>
  </si>
  <si>
    <t>Richmond</t>
  </si>
  <si>
    <t>Panasonic KX-TG9471B</t>
  </si>
  <si>
    <t>Anaheim</t>
  </si>
  <si>
    <t>Xerox 1915</t>
  </si>
  <si>
    <t>Standard Rollaway File with Lock</t>
  </si>
  <si>
    <t>Columbus</t>
  </si>
  <si>
    <t>GE 48" Fluorescent Tube, Cool White Energy Saver, 34 Watts, 30/Box</t>
  </si>
  <si>
    <t>San Antonio</t>
  </si>
  <si>
    <t>SAFCO Arco Folding Chair</t>
  </si>
  <si>
    <t>Dallas</t>
  </si>
  <si>
    <t>Letter Size Cart</t>
  </si>
  <si>
    <t>Lawrence</t>
  </si>
  <si>
    <t>Lifetime Advantage Folding Chairs, 4/Carton</t>
  </si>
  <si>
    <t>Meriden</t>
  </si>
  <si>
    <t>Hon GuestStacker Chair</t>
  </si>
  <si>
    <t>Toronto</t>
  </si>
  <si>
    <t>GBC DocuBind P50 Personal Binding Machine</t>
  </si>
  <si>
    <t>Jackson</t>
  </si>
  <si>
    <t>Maxell iVDR EX 500GB Cartridge</t>
  </si>
  <si>
    <t>Lakeland</t>
  </si>
  <si>
    <t>Brother DCP1000 Digital 3 in 1 Multifunction Machine</t>
  </si>
  <si>
    <t>Panasonic KX-TG9541B DECT 6.0 Digital 2-Line Expandable Cordless Phone With Digital Answering System</t>
  </si>
  <si>
    <t>Tennsco 16-Compartment Lockers with Coat Rack</t>
  </si>
  <si>
    <t>Smead Adjustable Mobile File Trolley with Lockable Top</t>
  </si>
  <si>
    <t>Phoenix</t>
  </si>
  <si>
    <t>Samsung Galaxy S4 Mini</t>
  </si>
  <si>
    <t>Arlington</t>
  </si>
  <si>
    <t>Easy-staple paper</t>
  </si>
  <si>
    <t>Clinton</t>
  </si>
  <si>
    <t>Fellowes Powershred HS-440 4-Sheet High Security Shredder</t>
  </si>
  <si>
    <t>Ibico EB-19 Dual Function Manual Binding System</t>
  </si>
  <si>
    <t>Denver</t>
  </si>
  <si>
    <t>ClearOne CHATAttach 160 - speaker phone</t>
  </si>
  <si>
    <t>Houston</t>
  </si>
  <si>
    <t>Hon 4070 Series Pagoda Round Back Stacking Chairs</t>
  </si>
  <si>
    <t>GBC DocuBind 200 Manual Binding Machine</t>
  </si>
  <si>
    <t>Deltona</t>
  </si>
  <si>
    <t>Wilson SignalBoost 841262 DB PRO Amplifier Kit</t>
  </si>
  <si>
    <t>Samsung Galaxy S4 Active</t>
  </si>
  <si>
    <t>Razer Kraken 7.1 Surround Sound Over Ear USB Gaming Headset</t>
  </si>
  <si>
    <t>Tempe</t>
  </si>
  <si>
    <t>Bose SoundLink Bluetooth Speaker</t>
  </si>
  <si>
    <t>Sanyo 2.5 Cubic Foot Mid-Size Office Refrigerators</t>
  </si>
  <si>
    <t>Global Troy Executive Leather Low-Back Tilter</t>
  </si>
  <si>
    <t>Nortel Meridian M3904 Professional Digital phone</t>
  </si>
  <si>
    <t>Chesapeake</t>
  </si>
  <si>
    <t>Global Commerce Series High-Back Swivel/Tilt Chairs</t>
  </si>
  <si>
    <t>Cisco SPA301</t>
  </si>
  <si>
    <t>El Paso</t>
  </si>
  <si>
    <t>Polycom VVX 310 VoIP phone</t>
  </si>
  <si>
    <t>Polycom CX600 IP Phone VoIP phone</t>
  </si>
  <si>
    <t>Logitech G700s Rechargeable Gaming Mouse</t>
  </si>
  <si>
    <t>Imation Bio 2GB USB Flash Drive Imation Corp</t>
  </si>
  <si>
    <t>Okidata MB760 Printer</t>
  </si>
  <si>
    <t>Austin</t>
  </si>
  <si>
    <t>Jawbone JAMBOX Wireless Bluetooth Speaker</t>
  </si>
  <si>
    <t>Safco Contoured Stacking Chairs</t>
  </si>
  <si>
    <t>Global Leather and Oak Executive Chair, Black</t>
  </si>
  <si>
    <t>Multicolor Computer Printout Paper</t>
  </si>
  <si>
    <t>Hewlett Packard 310 Color Digital Copier</t>
  </si>
  <si>
    <t>GE 30524EE4</t>
  </si>
  <si>
    <t>Hon Olson Stacker Stools</t>
  </si>
  <si>
    <t>Jonesboro</t>
  </si>
  <si>
    <t>Hon 4700 Series Mobuis Mid-Back Task Chairs with Adjustable Arms</t>
  </si>
  <si>
    <t>Huntsville</t>
  </si>
  <si>
    <t>Hon Multipurpose Stacking Arm Chairs</t>
  </si>
  <si>
    <t>Roswell</t>
  </si>
  <si>
    <t>Xerox 1908</t>
  </si>
  <si>
    <t>GBC ProClick Punch Binding System</t>
  </si>
  <si>
    <t>Global Ergonomic Managers Chair</t>
  </si>
  <si>
    <t>Mitel MiVoice 5330e IP Phone</t>
  </si>
  <si>
    <t>Reading</t>
  </si>
  <si>
    <t>Atlantic Metals Mobile 3-Shelf Bookcases, Custom Colors</t>
  </si>
  <si>
    <t>San Gabriel</t>
  </si>
  <si>
    <t>GuestStacker Chair with Chrome Finish Legs</t>
  </si>
  <si>
    <t>Yonkers</t>
  </si>
  <si>
    <t>Logitech Wireless Gaming Headset G930</t>
  </si>
  <si>
    <t>Rochester</t>
  </si>
  <si>
    <t>GBC Ibimaster 500 Manual ProClick Binding System</t>
  </si>
  <si>
    <t>Columbia</t>
  </si>
  <si>
    <t>Xerox 1945</t>
  </si>
  <si>
    <t>Bossier City</t>
  </si>
  <si>
    <t>Plantronics S12 Corded Telephone Headset System</t>
  </si>
  <si>
    <t>Staple envelope</t>
  </si>
  <si>
    <t>Global Executive Mid-Back Manager's Chair</t>
  </si>
  <si>
    <t>Xerox 189</t>
  </si>
  <si>
    <t>Wireless Extenders zBoost YX545 SOHO Signal Booster</t>
  </si>
  <si>
    <t>Xerox 1919</t>
  </si>
  <si>
    <t>Logitech G19 Programmable Gaming Keyboard</t>
  </si>
  <si>
    <t>NETGEAR AC1750 Dual Band Gigabit Smart WiFi Router</t>
  </si>
  <si>
    <t>Green Bay</t>
  </si>
  <si>
    <t>Enermax Aurora Lite Keyboard</t>
  </si>
  <si>
    <t>Concord</t>
  </si>
  <si>
    <t>Logitech Wireless Headset h800</t>
  </si>
  <si>
    <t>Lansing</t>
  </si>
  <si>
    <t>Hoover Shoulder Vac Commercial Portable Vacuum</t>
  </si>
  <si>
    <t>Akron</t>
  </si>
  <si>
    <t>Google Nexus 5</t>
  </si>
  <si>
    <t>Xerox 1941</t>
  </si>
  <si>
    <t>Memphis</t>
  </si>
  <si>
    <t>Global Leather Executive Chair</t>
  </si>
  <si>
    <t>Haltom City</t>
  </si>
  <si>
    <t>Logitech G35 7.1-Channel Surround Sound Headset</t>
  </si>
  <si>
    <t>Pleasant Grove</t>
  </si>
  <si>
    <t>Hoover WindTunnel Plus Canister Vacuum</t>
  </si>
  <si>
    <t>Washington</t>
  </si>
  <si>
    <t>Global Comet Stacking Arm Chair</t>
  </si>
  <si>
    <t>Economy Rollaway Files</t>
  </si>
  <si>
    <t>Fellowes PB200 Plastic Comb Binding Machine</t>
  </si>
  <si>
    <t>Montreal</t>
  </si>
  <si>
    <t>Wi-Ex zBoost YX540 Cellular Phone Signal Booster</t>
  </si>
  <si>
    <t>Little Rock</t>
  </si>
  <si>
    <t>Logitech Gaming G510s - Keyboard</t>
  </si>
  <si>
    <t>Calgary</t>
  </si>
  <si>
    <t>Dana Halogen Swing-Arm Architect Lamp</t>
  </si>
  <si>
    <t>Alexandria</t>
  </si>
  <si>
    <t>Jabra SPEAK 410</t>
  </si>
  <si>
    <t>Cisco SPA525G2 5-Line IP Phone</t>
  </si>
  <si>
    <t>Newark</t>
  </si>
  <si>
    <t>Microsoft Sculpt Comfort Mouse</t>
  </si>
  <si>
    <t>Cameo Buff Policy Envelopes</t>
  </si>
  <si>
    <t>Decatur</t>
  </si>
  <si>
    <t>Enermax Acrylux Wireless Keyboard</t>
  </si>
  <si>
    <t>Omaha</t>
  </si>
  <si>
    <t>Electrix Architect's Clamp-On Swing Arm Lamp, Black</t>
  </si>
  <si>
    <t>NETGEAR N750 Dual Band Wi-Fi Gigabit Router</t>
  </si>
  <si>
    <t>Xerox 1893</t>
  </si>
  <si>
    <t>Texas City</t>
  </si>
  <si>
    <t>SAFCO PlanMaster Heigh-Adjustable Drafting Table Base, 43w x 30d x 30-37h, Black</t>
  </si>
  <si>
    <t>Ativa D5772 2-Line 5.8GHz Digital Expandable Corded/Cordless Phone System with Answering &amp; Caller ID/Call Waiting, Black/Silver</t>
  </si>
  <si>
    <t>Xiaomi Mi3</t>
  </si>
  <si>
    <t>Amarillo</t>
  </si>
  <si>
    <t>Plantronics Audio 995 Wireless Stereo Headset</t>
  </si>
  <si>
    <t>1.7 Cubic Foot Compact "Cube" Office Refrigerators</t>
  </si>
  <si>
    <t>Redondo Beach</t>
  </si>
  <si>
    <t>Pyle PMP37LED</t>
  </si>
  <si>
    <t>Aastra 57i VoIP phone</t>
  </si>
  <si>
    <t>Xerox 1917</t>
  </si>
  <si>
    <t>Louisville</t>
  </si>
  <si>
    <t>Global Airflow Leather Mesh Back Chair, Black</t>
  </si>
  <si>
    <t>Garden City</t>
  </si>
  <si>
    <t>Digium D40 VoIP phone</t>
  </si>
  <si>
    <t>Tyvek Side-Opening Peel &amp; Seel Expanding Envelopes</t>
  </si>
  <si>
    <t>Tulsa</t>
  </si>
  <si>
    <t>3M Polarizing Task Lamp with Clamp Arm, Light Gray</t>
  </si>
  <si>
    <t>Medina</t>
  </si>
  <si>
    <t>O'Sullivan 2-Door Barrister Bookcase in Odessa Pine</t>
  </si>
  <si>
    <t>Chicago</t>
  </si>
  <si>
    <t>Kensington 7 Outlet MasterPiece HOMEOFFICE Power Control Center</t>
  </si>
  <si>
    <t>Ames Color-File Green Diamond Border X-ray Mailers</t>
  </si>
  <si>
    <t>Lafayette</t>
  </si>
  <si>
    <t>Logitech Wireless Marathon Mouse M705</t>
  </si>
  <si>
    <t>Honeywell Quietcare HEPA Air Cleaner</t>
  </si>
  <si>
    <t>BlackBerry Q10</t>
  </si>
  <si>
    <t>Glendale</t>
  </si>
  <si>
    <t>White Computer Printout Paper by Universal</t>
  </si>
  <si>
    <t>Xerox 1891</t>
  </si>
  <si>
    <t>Fresno</t>
  </si>
  <si>
    <t>Hon Non-Folding Utility Tables</t>
  </si>
  <si>
    <t>Logitech G600 MMO Gaming Mouse</t>
  </si>
  <si>
    <t>Salt Lake City</t>
  </si>
  <si>
    <t>Xerox 1888</t>
  </si>
  <si>
    <t>24 Capacity Maxi Data Binder Racks, Pearl</t>
  </si>
  <si>
    <t>Logitech 910-002974 M325 Wireless Mouse for Web Scrolling</t>
  </si>
  <si>
    <t>Xerox 1934</t>
  </si>
  <si>
    <t>Avery 4027 File Folder Labels for Dot Matrix Printers, 5000 Labels per Box, White</t>
  </si>
  <si>
    <t>Long Beach</t>
  </si>
  <si>
    <t>Polycom SoundStation2 EX Conference phone</t>
  </si>
  <si>
    <t>Logitech Illuminated - Keyboard</t>
  </si>
  <si>
    <t>Wilson Electronics DB Pro Signal Booster</t>
  </si>
  <si>
    <t>Logitech G602 Wireless Gaming Mouse</t>
  </si>
  <si>
    <t>Oakland</t>
  </si>
  <si>
    <t>Plantronics Audio 478 Stereo USB Headset</t>
  </si>
  <si>
    <t>Brownsville</t>
  </si>
  <si>
    <t>Airmail Envelopes</t>
  </si>
  <si>
    <t>El Cajon</t>
  </si>
  <si>
    <t>Global Comet Stacking Armless Chair</t>
  </si>
  <si>
    <t>North Las Vegas</t>
  </si>
  <si>
    <t>Apple iPhone 5S</t>
  </si>
  <si>
    <t>Indianapolis</t>
  </si>
  <si>
    <t>Fellowes Staxonsteel Drawer Files</t>
  </si>
  <si>
    <t>Zebra GX420t Direct Thermal/Thermal Transfer Printer</t>
  </si>
  <si>
    <t>Plantronics Calisto P620-M USB Wireless Speakerphone System</t>
  </si>
  <si>
    <t>Global Fabric Manager's Chair, Dark Gray</t>
  </si>
  <si>
    <t>WD My Passport Ultra 2TB Portable External Hard Drive</t>
  </si>
  <si>
    <t>Kenosha</t>
  </si>
  <si>
    <t>Hon Mobius Operator's Chair</t>
  </si>
  <si>
    <t>Logitech Wireless Performance Mouse MX for PC and Mac</t>
  </si>
  <si>
    <t>Beverly</t>
  </si>
  <si>
    <t>Xerox 1906</t>
  </si>
  <si>
    <t>GBC DocuBind 300 Electric Binding Machine</t>
  </si>
  <si>
    <t>Baltimore</t>
  </si>
  <si>
    <t>Global Manager's Adjustable Task Chair, Storm</t>
  </si>
  <si>
    <t>Eaton Premium Continuous-Feed Paper, 25% Cotton, Letter Size, White, 1000 Shts/Box</t>
  </si>
  <si>
    <t>Hialeah</t>
  </si>
  <si>
    <t>GBC DocuBind P100 Manual Binding Machine</t>
  </si>
  <si>
    <t>DMI Arturo Collection Mission-style Design Wood Chair</t>
  </si>
  <si>
    <t>Fellowes Mobile File Cart, Black</t>
  </si>
  <si>
    <t>Aastra 6757i CT Wireless VoIP phone</t>
  </si>
  <si>
    <t>Razer Kraken PRO Over Ear PC and Music Headset</t>
  </si>
  <si>
    <t>VTech DS6151</t>
  </si>
  <si>
    <t>Avanti 1.7 Cu. Ft. Refrigerator</t>
  </si>
  <si>
    <t>AT&amp;T CL83451 4-Handset Telephone</t>
  </si>
  <si>
    <t>Fellowes Super Stor/Drawer Files</t>
  </si>
  <si>
    <t>Motorola L703CM</t>
  </si>
  <si>
    <t>Cisco 9971 IP Video Phone Charcoal</t>
  </si>
  <si>
    <t>DYMO CardScan Personal V9 Business Card Scanner</t>
  </si>
  <si>
    <t>Xerox 1885</t>
  </si>
  <si>
    <t>Bretford CR8500 Series Meeting Room Furniture</t>
  </si>
  <si>
    <t>Hoover Upright Vacuum With Dirt Cup</t>
  </si>
  <si>
    <t>Snap-A-Way Black Print Carbonless Ruled Speed Letter, Triplicate</t>
  </si>
  <si>
    <t>GBC Recycled Regency Composition Covers</t>
  </si>
  <si>
    <t>Howard Miller 11-1/2" Diameter Ridgewood Wall Clock</t>
  </si>
  <si>
    <t>Pasco</t>
  </si>
  <si>
    <t>Hunt PowerHouse Electric Pencil Sharpener, Blue</t>
  </si>
  <si>
    <t>Bevis 36 x 72 Conference Tables</t>
  </si>
  <si>
    <t>Harbour Creations Steel Folding Chair</t>
  </si>
  <si>
    <t>Toledo</t>
  </si>
  <si>
    <t>Samsung Galaxy S4</t>
  </si>
  <si>
    <t>netTALK DUO VoIP Telephone Service</t>
  </si>
  <si>
    <t>Fairfield</t>
  </si>
  <si>
    <t>Hon Practical Foundations 30 x 60 Training Table, Light Gray/Charcoal</t>
  </si>
  <si>
    <t>Tennsco Double-Tier Lockers</t>
  </si>
  <si>
    <t>Logitech G500s Laser Gaming Mouse with Adjustable Weight Tuning</t>
  </si>
  <si>
    <t>Caldwell</t>
  </si>
  <si>
    <t>Office Star - Contemporary Swivel Chair with Padded Adjustable Arms and Flex Back</t>
  </si>
  <si>
    <t>Redding</t>
  </si>
  <si>
    <t>Toshiba IPT2010-SD IP Telephone</t>
  </si>
  <si>
    <t>Xerox 1914</t>
  </si>
  <si>
    <t>ShoreTel ShorePhone IP 230 VoIP phone</t>
  </si>
  <si>
    <t>Chula Vista</t>
  </si>
  <si>
    <t>Tyvek Interoffice Envelopes, 9 1/2" x 12 1/2", 100/Box</t>
  </si>
  <si>
    <t>Fellowes High-Stak Drawer Files</t>
  </si>
  <si>
    <t>Vtech CS6719</t>
  </si>
  <si>
    <t>Norwich</t>
  </si>
  <si>
    <t>Honeywell Enviracaire Portable HEPA Air Cleaner for up to 10 x 16 Room</t>
  </si>
  <si>
    <t>Recycled Data-Pak for Archival Bound Computer Printouts, 12-1/2 x 12-1/2 x 16</t>
  </si>
  <si>
    <t>Texarkana</t>
  </si>
  <si>
    <t>Office Star Flex Back Scooter Chair with Aluminum Finish Frame</t>
  </si>
  <si>
    <t>GBC Therma-A-Bind 250T Electric Binding System</t>
  </si>
  <si>
    <t>LG G3</t>
  </si>
  <si>
    <t>Bangor</t>
  </si>
  <si>
    <t>Maxell 4.7GB DVD-R</t>
  </si>
  <si>
    <t>Rush Hierlooms Collection 1" Thick Stackable Bookcases</t>
  </si>
  <si>
    <t>Imation Secure+ Hardware Encrypted USB 2.0 Flash Drive; 16GB</t>
  </si>
  <si>
    <t>White Dual Perf Computer Printout Paper, 2700 Sheets, 1 Part, Heavyweight, 20 lbs., 14 7/8 x 11</t>
  </si>
  <si>
    <t>Xerox 1988</t>
  </si>
  <si>
    <t>Acco 7-Outlet Masterpiece Power Center, Wihtout Fax/Phone Line Protection</t>
  </si>
  <si>
    <t>Xerox 1909</t>
  </si>
  <si>
    <t>Imation Bio 8GB USB Flash Drive Imation Corp</t>
  </si>
  <si>
    <t>Xerox 200</t>
  </si>
  <si>
    <t>Nortel Networks T7316 E Nt8 B27</t>
  </si>
  <si>
    <t>Ativa MDM8000 8-Sheet Micro-Cut Shredder</t>
  </si>
  <si>
    <t>Fellowes Strictly Business Drawer File, Letter/Legal Size</t>
  </si>
  <si>
    <t>Geemarc AmpliPOWER60</t>
  </si>
  <si>
    <t>Avanti 4.4 Cu. Ft. Refrigerator</t>
  </si>
  <si>
    <t>Westland</t>
  </si>
  <si>
    <t>Holmes Replacement Filter for HEPA Air Cleaner, Very Large Room, HEPA Filter</t>
  </si>
  <si>
    <t>Green Bar Computer Printout Paper</t>
  </si>
  <si>
    <t>Kensington 4 Outlet MasterPiece Compact Power Control Center</t>
  </si>
  <si>
    <t>Thornton</t>
  </si>
  <si>
    <t>Logitech G430 Surround Sound Gaming Headset with Dolby 7.1 Technology</t>
  </si>
  <si>
    <t>Portland</t>
  </si>
  <si>
    <t>Plantronics Voyager Pro HD - Bluetooth Headset</t>
  </si>
  <si>
    <t>Howard Miller 14-1/2" Diameter Chrome Round Wall Clock</t>
  </si>
  <si>
    <t>Wilmington</t>
  </si>
  <si>
    <t>Xerox 1913</t>
  </si>
  <si>
    <t>Harmony Air Purifier</t>
  </si>
  <si>
    <t>Greensboro</t>
  </si>
  <si>
    <t>GBC Prestige Therm-A-Bind Covers</t>
  </si>
  <si>
    <t>Hon Metal Bookcases, Putty</t>
  </si>
  <si>
    <t>Montgomery</t>
  </si>
  <si>
    <t>Avaya IP Phone 1140E VoIP phone</t>
  </si>
  <si>
    <t>Luxo Adjustable Task Clamp Lamp</t>
  </si>
  <si>
    <t>Kensington Expert Mouse Optical USB Trackball for PC or Mac</t>
  </si>
  <si>
    <t>Star Micronics TSP800 TSP847IIU Receipt Printer</t>
  </si>
  <si>
    <t>Kensington Orbit Wireless Mobile Trackball for PC and Mac</t>
  </si>
  <si>
    <t>Xerox 191</t>
  </si>
  <si>
    <t>Global Adaptabilities Conference Tables</t>
  </si>
  <si>
    <t>Xerox 1883</t>
  </si>
  <si>
    <t>iKross Bluetooth Portable Keyboard + Cell Phone Stand Holder + Brush for Apple iPhone 5S 5C 5, 4S 4</t>
  </si>
  <si>
    <t>Luxo Professional Combination Clamp-On Lamps</t>
  </si>
  <si>
    <t>Office Star - Mid Back Dual function Ergonomic High Back Chair with 2-Way Adjustable Arms</t>
  </si>
  <si>
    <t>Xerox 1916</t>
  </si>
  <si>
    <t>Imation 16GB Mini TravelDrive USB 2.0 Flash Drive</t>
  </si>
  <si>
    <t>Athens</t>
  </si>
  <si>
    <t>Motorola Droid Maxx</t>
  </si>
  <si>
    <t>Mason</t>
  </si>
  <si>
    <t>Howard Miller 13" Diameter Pewter Finish Round Wall Clock</t>
  </si>
  <si>
    <t>Albuquerque</t>
  </si>
  <si>
    <t>AT&amp;T TR1909W</t>
  </si>
  <si>
    <t>Raleigh</t>
  </si>
  <si>
    <t>Polycom VoiceStation 500 Conference phone</t>
  </si>
  <si>
    <t>GE 30522EE2</t>
  </si>
  <si>
    <t>Xerox 1960</t>
  </si>
  <si>
    <t>Satellite Sectional Post Binders</t>
  </si>
  <si>
    <t>Ibico Plastic Spiral Binding Combs</t>
  </si>
  <si>
    <t>Xerox 1943</t>
  </si>
  <si>
    <t>Konftel 250 Conference phone - Charcoal black</t>
  </si>
  <si>
    <t>Edmond</t>
  </si>
  <si>
    <t>Avaya 5420 Digital phone</t>
  </si>
  <si>
    <t>South Bend</t>
  </si>
  <si>
    <t>Tops White Computer Printout Paper</t>
  </si>
  <si>
    <t>SanDisk Cruzer 64 GB USB Flash Drive</t>
  </si>
  <si>
    <t>Deflect-o Glass Clear Studded Chair Mats</t>
  </si>
  <si>
    <t>Plano</t>
  </si>
  <si>
    <t>HTC One Mini</t>
  </si>
  <si>
    <t>Ooma Telo VoIP Home Phone System</t>
  </si>
  <si>
    <t>Saint Petersburg</t>
  </si>
  <si>
    <t>Electrix Halogen Magnifier Lamp</t>
  </si>
  <si>
    <t>Olympia</t>
  </si>
  <si>
    <t>Xerox 1964</t>
  </si>
  <si>
    <t>Adtran 1202752G1</t>
  </si>
  <si>
    <t>Bush Cubix Conference Tables, Fully Assembled</t>
  </si>
  <si>
    <t>Advantus Employee of the Month Certificate Frame, 11 x 13-1/2</t>
  </si>
  <si>
    <t>Midland</t>
  </si>
  <si>
    <t>Kensington 7 Outlet MasterPiece Power Center with Fax/Phone Line Protection</t>
  </si>
  <si>
    <t>Sauder Inglewood Library Bookcases</t>
  </si>
  <si>
    <t>Boston Heavy-Duty Trimline Electric Pencil Sharpeners</t>
  </si>
  <si>
    <t>Kent</t>
  </si>
  <si>
    <t>Strathmore #10 Envelopes, Ultimate White</t>
  </si>
  <si>
    <t>Xerox 1886</t>
  </si>
  <si>
    <t>Innergie mMini Combo Duo USB Travel Charging Kit</t>
  </si>
  <si>
    <t>Atlanta</t>
  </si>
  <si>
    <t>Avery 485</t>
  </si>
  <si>
    <t>Eau Claire</t>
  </si>
  <si>
    <t>Cisco SPA 502G IP Phone</t>
  </si>
  <si>
    <t>Blue String-Tie &amp; Button Interoffice Envelopes, 10 x 13</t>
  </si>
  <si>
    <t>Avery 477</t>
  </si>
  <si>
    <t>Howard Miller 13" Diameter Goldtone Round Wall Clock</t>
  </si>
  <si>
    <t>Eureka The Boss Lite 10-Amp Upright Vacuum, Blue</t>
  </si>
  <si>
    <t>Holmes Harmony HEPA Air Purifier for 17 x 20 Room</t>
  </si>
  <si>
    <t>Durham</t>
  </si>
  <si>
    <t>Luxo Professional Fluorescent Magnifier Lamp with Clamp-Mount Base</t>
  </si>
  <si>
    <t>Dearborn</t>
  </si>
  <si>
    <t>Mini 13-1/2 Capacity Data Binder Rack, Pearl</t>
  </si>
  <si>
    <t>Logitech Trackman Marble Mouse</t>
  </si>
  <si>
    <t>Xerox 1880</t>
  </si>
  <si>
    <t>Lancaster</t>
  </si>
  <si>
    <t>Nu-Dell Executive Frame</t>
  </si>
  <si>
    <t>Nokia Lumia 925</t>
  </si>
  <si>
    <t>Premium Transparent Presentation Covers by GBC</t>
  </si>
  <si>
    <t>Global Push Button Manager's Chair, Indigo</t>
  </si>
  <si>
    <t>Hon Every-Day Series Multi-Task Chairs</t>
  </si>
  <si>
    <t>GBC VeloBinder Manual Binding System</t>
  </si>
  <si>
    <t>Saint Louis</t>
  </si>
  <si>
    <t>Memorex Mini Travel Drive 16 GB USB 2.0 Flash Drive</t>
  </si>
  <si>
    <t>Xerox 1911</t>
  </si>
  <si>
    <t>Xerox 1940</t>
  </si>
  <si>
    <t>Xerox 1942</t>
  </si>
  <si>
    <t>Trav-L-File Heavy-Duty Shuttle II, Black</t>
  </si>
  <si>
    <t>Advantus 10-Drawer Portable Organizer, Chrome Metal Frame, Smoke Drawers</t>
  </si>
  <si>
    <t>Polycom SoundPoint Pro SE-225 Corded phone</t>
  </si>
  <si>
    <t>Hypercom P1300 Pinpad</t>
  </si>
  <si>
    <t>Tyvek  Top-Opening Peel &amp; Seel  Envelopes, Gray</t>
  </si>
  <si>
    <t>ClearOne Communications CHAT 70 OC Speaker Phone</t>
  </si>
  <si>
    <t>New Rochelle</t>
  </si>
  <si>
    <t>Xerox 1882</t>
  </si>
  <si>
    <t>Broken Arrow</t>
  </si>
  <si>
    <t>AT&amp;T 1080 Phone</t>
  </si>
  <si>
    <t>Star Micronics TSP100 TSP143LAN Receipt Printer</t>
  </si>
  <si>
    <t>Global Leather Highback Executive Chair with Pneumatic Height Adjustment, Black</t>
  </si>
  <si>
    <t>Executive Impressions Supervisor Wall Clock</t>
  </si>
  <si>
    <t>Ibico Recycled Linen-Style Covers</t>
  </si>
  <si>
    <t>File Shuttle II and Handi-File, Black</t>
  </si>
  <si>
    <t>Xerox Color Copier Paper, 11" x 17", Ream</t>
  </si>
  <si>
    <t>Belkin 8 Outlet Surge Protector</t>
  </si>
  <si>
    <t>Oklahoma City</t>
  </si>
  <si>
    <t>Jabra Supreme Plus Driver Edition Headset</t>
  </si>
  <si>
    <t>SAFCO Mobile Desk Side File, Wire Frame</t>
  </si>
  <si>
    <t>Xerox 1944</t>
  </si>
  <si>
    <t>Howard Miller 11-1/2" Diameter Brentwood Wall Clock</t>
  </si>
  <si>
    <t>GBC Twin Loop Wire Binding Elements</t>
  </si>
  <si>
    <t>Sony Micro Vault Click 16 GB USB 2.0 Flash Drive</t>
  </si>
  <si>
    <t>Moreno Valley</t>
  </si>
  <si>
    <t>Xerox 1991</t>
  </si>
  <si>
    <t>Harbour Creations 67200 Series Stacking Chairs</t>
  </si>
  <si>
    <t>Recycled Steel Personal File for Standard File Folders</t>
  </si>
  <si>
    <t>Iceberg Nesting Folding Chair, 19w x 6d x 43h</t>
  </si>
  <si>
    <t>Nortel Meridian M5316 Digital phone</t>
  </si>
  <si>
    <t>Plantronics HL10 Handset Lifter</t>
  </si>
  <si>
    <t>Howard Miller 13-1/2" Diameter Rosebrook Wall Clock</t>
  </si>
  <si>
    <t>Global Value Steno Chair, Gray</t>
  </si>
  <si>
    <t>Tucson</t>
  </si>
  <si>
    <t>Xerox 1951</t>
  </si>
  <si>
    <t>Hollywood</t>
  </si>
  <si>
    <t>Deflect-o DuraMat Antistatic Studded Beveled Mat for Medium Pile Carpeting</t>
  </si>
  <si>
    <t>Alphabetical Labels for Top Tab Filing</t>
  </si>
  <si>
    <t>Logitech Mobile Speakerphone P710e - speaker phone</t>
  </si>
  <si>
    <t>Eureka The Boss Cordless Rechargeable Stick Vac</t>
  </si>
  <si>
    <t>Xerox 1935</t>
  </si>
  <si>
    <t>Southworth 25% Cotton Premium Laser Paper and Envelopes</t>
  </si>
  <si>
    <t>Xerox 1910</t>
  </si>
  <si>
    <t>Xerox 1889</t>
  </si>
  <si>
    <t>Kensington 6 Outlet MasterPiece HOMEOFFICE Power Control Center</t>
  </si>
  <si>
    <t>Tuf-Vin Binders</t>
  </si>
  <si>
    <t>Bristol</t>
  </si>
  <si>
    <t>Situations Contoured Folding Chairs, 4/Set</t>
  </si>
  <si>
    <t>Vacaville</t>
  </si>
  <si>
    <t>Advantus Rolling Drawer Organizers</t>
  </si>
  <si>
    <t>Everett</t>
  </si>
  <si>
    <t>Office Star - Ergonomic Mid Back Chair with 2-Way Adjustable Arms</t>
  </si>
  <si>
    <t>Hon Metal Bookcases, Gray</t>
  </si>
  <si>
    <t>Apple iPhone 5C</t>
  </si>
  <si>
    <t>Samsung Rugby III</t>
  </si>
  <si>
    <t>Kensington 7 Outlet MasterPiece Power Center</t>
  </si>
  <si>
    <t>Colorado Springs</t>
  </si>
  <si>
    <t>Global Deluxe Office Fabric Chairs</t>
  </si>
  <si>
    <t>Halifax</t>
  </si>
  <si>
    <t>Xerox 1925</t>
  </si>
  <si>
    <t>Cisco IP Phone 7961G VoIP phone - Dark gray</t>
  </si>
  <si>
    <t>Memorex Mini Travel Drive 64 GB USB 2.0 Flash Drive</t>
  </si>
  <si>
    <t>Scottsdale</t>
  </si>
  <si>
    <t>Tyvek  Top-Opening Peel &amp; Seel Envelopes, Plain White</t>
  </si>
  <si>
    <t>#10 White Business Envelopes,4 1/8 x 9 1/2</t>
  </si>
  <si>
    <t>Sauder Facets Collection Locker/File Cabinet, Sky Alder Finish</t>
  </si>
  <si>
    <t>Plantronics Cordless Phone Headset with In-line Volume - M214C</t>
  </si>
  <si>
    <t>Morristown</t>
  </si>
  <si>
    <t>Lexmark 20R1285 X6650 Wireless All-in-One Printer</t>
  </si>
  <si>
    <t>PureGear Roll-On Screen Protector</t>
  </si>
  <si>
    <t>Xerox 1887</t>
  </si>
  <si>
    <t>Mcallen</t>
  </si>
  <si>
    <t>TRENDnet 56K USB 2.0 Phone, Internet and Fax Modem</t>
  </si>
  <si>
    <t>Logitech MX Performance Wireless Mouse</t>
  </si>
  <si>
    <t>Mitel 5320 IP Phone VoIP phone</t>
  </si>
  <si>
    <t>Surelock Post Binders</t>
  </si>
  <si>
    <t>Bush Advantage Collection Round Conference Table</t>
  </si>
  <si>
    <t>Quebec City</t>
  </si>
  <si>
    <t>Hand-Finished Solid Wood Document Frame</t>
  </si>
  <si>
    <t>Hackensack</t>
  </si>
  <si>
    <t>Cisco SPA508G</t>
  </si>
  <si>
    <t>Xerox 1881</t>
  </si>
  <si>
    <t>Belkin 5 Outlet SurgeMaster Power Centers</t>
  </si>
  <si>
    <t>Provo</t>
  </si>
  <si>
    <t>Global Adaptabilites Bookcase, Cherry/Storm Gray Finish</t>
  </si>
  <si>
    <t>Boston 1645 Deluxe Heavier-Duty Electric Pencil Sharpener</t>
  </si>
  <si>
    <t>Eldon Mobile Mega Data Cart  Mega Stackable  Add-On Trays</t>
  </si>
  <si>
    <t>Xerox 1884</t>
  </si>
  <si>
    <t>Lowell</t>
  </si>
  <si>
    <t>Global Italian Leather Office Chair</t>
  </si>
  <si>
    <t>Wilson Jones Ledger-Size, Piano-Hinge Binder, 2", Blue</t>
  </si>
  <si>
    <t>Howard Miller 13-3/4" Diameter Brushed Chrome Round Wall Clock</t>
  </si>
  <si>
    <t>Mophie Juice Pack Helium for iPhone</t>
  </si>
  <si>
    <t>Bionaire Personal Warm Mist Humidifier/Vaporizer</t>
  </si>
  <si>
    <t>Fellowes Bases and Tops For Staxonsteel/High-Stak Systems</t>
  </si>
  <si>
    <t>Xerox 1939</t>
  </si>
  <si>
    <t>Xerox 1937</t>
  </si>
  <si>
    <t>Coral Springs</t>
  </si>
  <si>
    <t>Belkin 325VA UPS Surge Protector, 6'</t>
  </si>
  <si>
    <t>Home/Office Personal File Carts</t>
  </si>
  <si>
    <t>Global Value Mid-Back Manager's Chair, Gray</t>
  </si>
  <si>
    <t>Freeport</t>
  </si>
  <si>
    <t>Eldon Portable Mobile Manager</t>
  </si>
  <si>
    <t>Floodlight Indoor Halogen Bulbs, 1 Bulb per Pack, 60 Watts</t>
  </si>
  <si>
    <t>Franklin</t>
  </si>
  <si>
    <t>Imation Secure Drive + Hardware Encrypted USB flash drive - 16 GB</t>
  </si>
  <si>
    <t>Salem</t>
  </si>
  <si>
    <t>Samsung HM1900 Bluetooth Headset</t>
  </si>
  <si>
    <t>Xerox 197</t>
  </si>
  <si>
    <t>Vancouver</t>
  </si>
  <si>
    <t>Okidata B400 Printer</t>
  </si>
  <si>
    <t>Coppell</t>
  </si>
  <si>
    <t>Jackery Bar Premium Fast-charging Portable Charger</t>
  </si>
  <si>
    <t>Howard Miller Distant Time Traveler Alarm Clock</t>
  </si>
  <si>
    <t>Lexmark X 9575 Professional All-in-One Color Printer</t>
  </si>
  <si>
    <t>Memorex Froggy Flash Drive 8 GB</t>
  </si>
  <si>
    <t>IBM Multi-Purpose Copy Paper, 8 1/2 x 11", Case</t>
  </si>
  <si>
    <t>Steel Personal Filing/Posting Tote</t>
  </si>
  <si>
    <t>Xerox 194</t>
  </si>
  <si>
    <t>Gilbert</t>
  </si>
  <si>
    <t>Microsoft Wireless Mobile Mouse 4000</t>
  </si>
  <si>
    <t>9-3/4 Diameter Round Wall Clock</t>
  </si>
  <si>
    <t>Binding Machine Supplies</t>
  </si>
  <si>
    <t>Tennsco Snap-Together Open Shelving Units, Starter Sets and Add-On Units</t>
  </si>
  <si>
    <t>Riverside</t>
  </si>
  <si>
    <t>Maxell 74 Minute CD-R Spindle, 50/Pack</t>
  </si>
  <si>
    <t>Dover</t>
  </si>
  <si>
    <t>24-Hour Round Wall Clock</t>
  </si>
  <si>
    <t>Sparks</t>
  </si>
  <si>
    <t>Panasonic KX MB2061 Multifunction Printer</t>
  </si>
  <si>
    <t>Computer Room Manger, 14"</t>
  </si>
  <si>
    <t>TOPS Carbonless Receipt Book, Four 2-3/4 x 7-1/4 Money Receipts per Page</t>
  </si>
  <si>
    <t>Reno</t>
  </si>
  <si>
    <t>Panasonic KX TS3282W Corded phone</t>
  </si>
  <si>
    <t>Plantronics CS 50-USB - headset - Convertible, Monaural</t>
  </si>
  <si>
    <t>Jet-Pak Recycled Peel 'N' Seal Padded Mailers</t>
  </si>
  <si>
    <t>Socket Bluetooth Cordless Hand Scanner (CHS)</t>
  </si>
  <si>
    <t>Belkin 7 Outlet SurgeMaster II</t>
  </si>
  <si>
    <t>Plantronics Voyager Pro Legend</t>
  </si>
  <si>
    <t>14-7/8 x 11 Blue Bar Computer Printout Paper</t>
  </si>
  <si>
    <t>Tenex Traditional Chairmats for Medium Pile Carpet, Standard Lip, 36" x 48"</t>
  </si>
  <si>
    <t>Tops Green Bar Computer Printout Paper</t>
  </si>
  <si>
    <t>invisibleSHIELD by ZAGG Smudge-Free Screen Protector</t>
  </si>
  <si>
    <t>Safco Chair Connectors, 6/Carton</t>
  </si>
  <si>
    <t>Fellowes Premier Superior Surge Suppressor, 10-Outlet, With Phone and Remote</t>
  </si>
  <si>
    <t>Computer Printout Paper with Letter-Trim Perforations</t>
  </si>
  <si>
    <t>Belkin 8 Outlet SurgeMaster II Gold Surge Protector with Phone Protection</t>
  </si>
  <si>
    <t>AT&amp;T 17929 Lendline Telephone</t>
  </si>
  <si>
    <t>Cary</t>
  </si>
  <si>
    <t>Fellowes 8 Outlet Superior Workstation Surge Protector</t>
  </si>
  <si>
    <t>Executive Impressions 14"</t>
  </si>
  <si>
    <t>Knoxville</t>
  </si>
  <si>
    <t>Avery 505</t>
  </si>
  <si>
    <t>AT&amp;T 841000 Phone</t>
  </si>
  <si>
    <t>Dixon Ticonderoga Core-Lock Colored Pencils, 48-Color Set</t>
  </si>
  <si>
    <t>Globe Weis Peel &amp; Seel First Class Envelopes</t>
  </si>
  <si>
    <t>Panasonic Business Telephones KX-T7736</t>
  </si>
  <si>
    <t>Plantronics Encore H101 Dual Earpieces Headset</t>
  </si>
  <si>
    <t>Conquest 14 Commercial Heavy-Duty Upright Vacuum, Collection System, Accessory Kit</t>
  </si>
  <si>
    <t>Flat Face Poster Frame</t>
  </si>
  <si>
    <t>Green Canvas Binder for 8-1/2" x 14" Sheets</t>
  </si>
  <si>
    <t>Polycom SoundPoint IP 450 VoIP phone</t>
  </si>
  <si>
    <t>Belkin F9G930V10-GRY 9 Outlet Surge</t>
  </si>
  <si>
    <t>Utica</t>
  </si>
  <si>
    <t>ClearSounds CSC500 Amplified Spirit Phone Corded phone</t>
  </si>
  <si>
    <t>Seth Thomas 14" Day/Date Wall Clock</t>
  </si>
  <si>
    <t>Round Specialty Laser Printer Labels</t>
  </si>
  <si>
    <t>Logitech ClearChat Comfort/USB Headset H390</t>
  </si>
  <si>
    <t>Xerox 19</t>
  </si>
  <si>
    <t>Wilson Jones Heavy-Duty Casebound Ring Binders with Metal Hinges</t>
  </si>
  <si>
    <t>Grandstream GXP1160 VoIP phone</t>
  </si>
  <si>
    <t>Personal Creations Ink Jet Cards and Labels</t>
  </si>
  <si>
    <t>Maxell LTO Ultrium - 800 GB</t>
  </si>
  <si>
    <t>Decoflex Hanging Personal Folder File, Blue</t>
  </si>
  <si>
    <t>Marietta</t>
  </si>
  <si>
    <t>Xerox 226</t>
  </si>
  <si>
    <t>Lodi</t>
  </si>
  <si>
    <t>Prismacolor Color Pencil Set</t>
  </si>
  <si>
    <t>Office Star - Contemporary Task Swivel Chair</t>
  </si>
  <si>
    <t>Panasonic KX TS208W Corded phone</t>
  </si>
  <si>
    <t>Xerox 1929</t>
  </si>
  <si>
    <t>Samsung Galaxy Note 3</t>
  </si>
  <si>
    <t>Hunt Boston Vacuum Mount KS Pencil Sharpener</t>
  </si>
  <si>
    <t>Fellowes Bankers Box Staxonsteel Drawer File/Stacking System</t>
  </si>
  <si>
    <t>RCA Visys Integrated PBX 8-Line Router</t>
  </si>
  <si>
    <t>I.R.I.S IRISCard Anywhere 5 Card Scanner</t>
  </si>
  <si>
    <t>Recycled Steel Personal File for Hanging File Folders</t>
  </si>
  <si>
    <t>SAFCO Folding Chair Trolley</t>
  </si>
  <si>
    <t>White Business Envelopes with Contemporary Seam, Recycled White Business Envelopes</t>
  </si>
  <si>
    <t>Tenex Contemporary Contur Chairmats for Low and Medium Pile Carpet, Computer, 39" x 49"</t>
  </si>
  <si>
    <t>Enermax Briskie RF Wireless Keyboard and Mouse Combo</t>
  </si>
  <si>
    <t>Boston School Pro Electric Pencil Sharpener, 1670</t>
  </si>
  <si>
    <t>Multimedia Mailers</t>
  </si>
  <si>
    <t>Companion Letter/Legal File, Black</t>
  </si>
  <si>
    <t>Logitech Wireless Boombox Speaker - portable - wireless, wired</t>
  </si>
  <si>
    <t>Tenex 46" x 60" Computer Anti-Static Chairmat, Rectangular Shaped</t>
  </si>
  <si>
    <t>GBC ProClick Spines for 32-Hole Punch</t>
  </si>
  <si>
    <t>Howard Miller 12-3/4 Diameter Accuwave DS  Wall Clock</t>
  </si>
  <si>
    <t>Waynesboro</t>
  </si>
  <si>
    <t>O'Sullivan 3-Shelf Heavy-Duty Bookcases</t>
  </si>
  <si>
    <t>Vinyl Sectional Post Binders</t>
  </si>
  <si>
    <t>Eureka The Boss Plus 12-Amp Hard Box Upright Vacuum, Red</t>
  </si>
  <si>
    <t>AT&amp;T 1080 Corded phone</t>
  </si>
  <si>
    <t>Tensor Computer Mounted Lamp</t>
  </si>
  <si>
    <t>Rockford</t>
  </si>
  <si>
    <t>Nokia Lumia 1020</t>
  </si>
  <si>
    <t>Imation 32GB Pocket Pro USB 3.0 Flash Drive - 32 GB - Black - 1 P ...</t>
  </si>
  <si>
    <t>Euro-Pro Shark Turbo Vacuum</t>
  </si>
  <si>
    <t>Motorola Moto X</t>
  </si>
  <si>
    <t>Xerox 1979</t>
  </si>
  <si>
    <t>Sanford 52201 APSCO Electric Pencil Sharpener</t>
  </si>
  <si>
    <t>Hewlett-Packard Deskjet D4360 Printer</t>
  </si>
  <si>
    <t>Hewlett-Packard Deskjet 6540 Color Inkjet Printer</t>
  </si>
  <si>
    <t>Hon Valutask Swivel Chairs</t>
  </si>
  <si>
    <t>White Envelopes, White Envelopes with Clear Poly Window</t>
  </si>
  <si>
    <t>Bloomington</t>
  </si>
  <si>
    <t>Wilson Jones Active Use Binders</t>
  </si>
  <si>
    <t>Xerox 1933</t>
  </si>
  <si>
    <t>Ibico Laser Imprintable Binding System Covers</t>
  </si>
  <si>
    <t>Buffalo</t>
  </si>
  <si>
    <t>Eldon Radial Chair Mat for Low to Medium Pile Carpets</t>
  </si>
  <si>
    <t>Bush Andora Bookcase, Maple/Graphite Gray Finish</t>
  </si>
  <si>
    <t>Newell 334</t>
  </si>
  <si>
    <t>Panasonic KX T7736-B Digital phone</t>
  </si>
  <si>
    <t>DAX Wood Document Frame</t>
  </si>
  <si>
    <t>AT&amp;T 1070 Corded Phone</t>
  </si>
  <si>
    <t>LG Electronics Tone+ HBS-730 Bluetooth Headset</t>
  </si>
  <si>
    <t>Logitech Wireless Headset H600 Over-The-Head Design</t>
  </si>
  <si>
    <t>Avery 475</t>
  </si>
  <si>
    <t>Seth Thomas 12" Clock w/ Goldtone Case</t>
  </si>
  <si>
    <t>Xblue XB-1670-86 X16 Small Office Telephone - Titanium</t>
  </si>
  <si>
    <t>Sony 64GB Class 10 Micro SDHC R40 Memory Card</t>
  </si>
  <si>
    <t>AT&amp;T CL82213</t>
  </si>
  <si>
    <t>Tripp Lite TLP810NET Broadband Surge for Modem/Fax</t>
  </si>
  <si>
    <t>Cisco Desktop Collaboration Experience DX650 IP Video Phone</t>
  </si>
  <si>
    <t>Memorex Micro Travel Drive 32 GB</t>
  </si>
  <si>
    <t>Acme 10" Easy Grip Assistive Scissors</t>
  </si>
  <si>
    <t>Boise</t>
  </si>
  <si>
    <t>Jabra BIZ 2300 Duo QD Duo Corded Headset</t>
  </si>
  <si>
    <t>REDIFORM Incoming/Outgoing Call Register, 11" X 8 1/2", 100 Messages</t>
  </si>
  <si>
    <t>Linden</t>
  </si>
  <si>
    <t>Maxell DVD-RAM Discs</t>
  </si>
  <si>
    <t>Blue Parrot B250XT Professional Grade Wireless Bluetooth Headset with</t>
  </si>
  <si>
    <t>Eldon ProFile File 'N Store Portable File Tub Letter/Legal Size Black</t>
  </si>
  <si>
    <t>Howard Miller 12" Round Wall Clock</t>
  </si>
  <si>
    <t>KeyTronic 6101 Series - Keyboard - Black</t>
  </si>
  <si>
    <t>Panasonic KP-150 Electric Pencil Sharpener</t>
  </si>
  <si>
    <t>Avery Address/Shipping Labels for Typewriters, 4" x 2"</t>
  </si>
  <si>
    <t>Draper</t>
  </si>
  <si>
    <t>Memorex Micro Travel Drive 16 GB</t>
  </si>
  <si>
    <t>Brentwood</t>
  </si>
  <si>
    <t>HTC One</t>
  </si>
  <si>
    <t>GBC Prepunched Paper, 19-Hole, for Binding Systems, 24-lb</t>
  </si>
  <si>
    <t>Global Stack Chair with Arms, Black</t>
  </si>
  <si>
    <t>Tenex B1-RE Series Chair Mats for Low Pile Carpets</t>
  </si>
  <si>
    <t>Staples in misc. colors</t>
  </si>
  <si>
    <t>Deflect-o EconoMat Nonstudded, No Bevel Mat</t>
  </si>
  <si>
    <t>DAX Natural Wood-Tone Poster Frame</t>
  </si>
  <si>
    <t>Eldon Image Series Desk Accessories, Burgundy</t>
  </si>
  <si>
    <t>Recycled Desk Saver Line "While You Were Out" Book, 5 1/2" X 4"</t>
  </si>
  <si>
    <t>Newell 319</t>
  </si>
  <si>
    <t>OtterBox Defender Series Case - Samsung Galaxy S4</t>
  </si>
  <si>
    <t>Belkin F9H710-06 7 Outlet SurgeMaster Surge Protector</t>
  </si>
  <si>
    <t>Motorla HX550 Universal Bluetooth Headset</t>
  </si>
  <si>
    <t>Panasonic KX - TS880B Telephone</t>
  </si>
  <si>
    <t>Maxell Pro 80 Minute CD-R, 10/Pack</t>
  </si>
  <si>
    <t>Xerox 1890</t>
  </si>
  <si>
    <t>Staple-based wall hangings</t>
  </si>
  <si>
    <t>Kensington SlimBlade Notebook Wireless Mouse with Nano Receiver</t>
  </si>
  <si>
    <t>Safco Steel Mobile File Cart</t>
  </si>
  <si>
    <t>Xerox 1898</t>
  </si>
  <si>
    <t>Epson WorkForce WF-2530 All-in-One Printer, Copier Scanner</t>
  </si>
  <si>
    <t>WD My Passport Ultra 500GB Portable External Hard Drive</t>
  </si>
  <si>
    <t>BOSTON Ranger #55 Pencil Sharpener, Black</t>
  </si>
  <si>
    <t>First Data TMFD35 PIN Pad</t>
  </si>
  <si>
    <t>Vinyl Coated Wire Paper Clips in Organizer Box, 800/Box</t>
  </si>
  <si>
    <t>Boston KS Multi-Size Manual Pencil Sharpener</t>
  </si>
  <si>
    <t>Avery 473</t>
  </si>
  <si>
    <t>Sortfiler Multipurpose Personal File Organizer, Black</t>
  </si>
  <si>
    <t>Tenex Personal Project File with Scoop Front Design, Black</t>
  </si>
  <si>
    <t>Plainfield</t>
  </si>
  <si>
    <t>Konica Minolta magicolor 1690MF Multifunction Printer</t>
  </si>
  <si>
    <t>Boston Electric Pencil Sharpener, Model 1818, Charcoal Black</t>
  </si>
  <si>
    <t>Watertown</t>
  </si>
  <si>
    <t>Staple holder</t>
  </si>
  <si>
    <t>Brown Kraft Recycled Envelopes</t>
  </si>
  <si>
    <t>Bevis Steel Folding Chairs</t>
  </si>
  <si>
    <t>Coloredge Poster Frame</t>
  </si>
  <si>
    <t>Metal Folding Chairs, Beige, 4/Carton</t>
  </si>
  <si>
    <t>#10- 4 1/8" x 9 1/2" Recycled Envelopes</t>
  </si>
  <si>
    <t>Recycled Interoffice Envelopes with String and Button Closure, 10 x 13</t>
  </si>
  <si>
    <t>Peel &amp; Seel Recycled Catalog Envelopes, Brown</t>
  </si>
  <si>
    <t>Escondido</t>
  </si>
  <si>
    <t>BOSTON Model 1800 Electric Pencil Sharpeners, Putty/Woodgrain</t>
  </si>
  <si>
    <t>Southworth 100% Résumé Paper, 24lb.</t>
  </si>
  <si>
    <t>Laredo</t>
  </si>
  <si>
    <t>Memorex Micro Travel Drive 8 GB</t>
  </si>
  <si>
    <t>Personal Filing Tote with Lid, Black/Gray</t>
  </si>
  <si>
    <t>Corpus Christi</t>
  </si>
  <si>
    <t>Trimflex Flexible Post Binders</t>
  </si>
  <si>
    <t>Plantronics 81402</t>
  </si>
  <si>
    <t>Bush Westfield Collection Bookcases, Fully Assembled</t>
  </si>
  <si>
    <t>Adams Telephone Message Book w/Frequently-Called Numbers Space, 400 Messages per Book</t>
  </si>
  <si>
    <t>Okidata C331dn Printer</t>
  </si>
  <si>
    <t>Panasonic KP-380BK Classic Electric Pencil Sharpener</t>
  </si>
  <si>
    <t>Hunt BOSTON Model 1606 High-Volume Electric Pencil Sharpener, Beige</t>
  </si>
  <si>
    <t>Acco Flexible ACCOHIDE Square Ring Data Binder, Dark Blue, 11 1/2" X 14" 7/8"</t>
  </si>
  <si>
    <t>Clifton</t>
  </si>
  <si>
    <t>Kensington 6 Outlet Guardian Standard Surge Protector</t>
  </si>
  <si>
    <t>Belkin F5C206VTEL 6 Outlet Surge</t>
  </si>
  <si>
    <t>Boston Model 1800 Electric Pencil Sharpener, Gray</t>
  </si>
  <si>
    <t>AT&amp;T EL51110 DECT</t>
  </si>
  <si>
    <t>Peel-Off China Markers</t>
  </si>
  <si>
    <t>Mission Viejo</t>
  </si>
  <si>
    <t>Memorex Mini Travel Drive 32 GB USB 2.0 Flash Drive</t>
  </si>
  <si>
    <t>Boston 1799 Powerhouse Electric Pencil Sharpener</t>
  </si>
  <si>
    <t>Wirebound Message Books, Four 2 3/4" x 5" Forms per Page, 600 Sets per Book</t>
  </si>
  <si>
    <t>Embossed Ink Jet Note Cards</t>
  </si>
  <si>
    <t>Palm Coast</t>
  </si>
  <si>
    <t>Advantus Panel Wall Certificate Holder - 8.5x11</t>
  </si>
  <si>
    <t>Microsoft Natural Ergonomic Keyboard 4000</t>
  </si>
  <si>
    <t>Howard Miller 16" Diameter Gallery Wall Clock</t>
  </si>
  <si>
    <t>GBC Recycled Grain Textured Covers</t>
  </si>
  <si>
    <t>Performers Binder/Pad Holder, Black</t>
  </si>
  <si>
    <t>Safco Value Mate Steel Bookcase, Baked Enamel Finish on Steel, Black</t>
  </si>
  <si>
    <t>Poly Designer Cover &amp; Back</t>
  </si>
  <si>
    <t>Fremont</t>
  </si>
  <si>
    <t>Strathmore Photo Mount Cards</t>
  </si>
  <si>
    <t>Kensington K72356US Mouse-in-a-Box USB Desktop Mouse</t>
  </si>
  <si>
    <t>Luxo Professional Magnifying Clamp-On Fluorescent Lamps</t>
  </si>
  <si>
    <t>Acco Smartsocket Table Surge Protector, 6 Color-Coded Adapter Outlets</t>
  </si>
  <si>
    <t>Ibico Standard Transparent Covers</t>
  </si>
  <si>
    <t>Adams Phone Message Book, 200 Message Capacity, 8 1/16” x 11”</t>
  </si>
  <si>
    <t>Acme Hot Forged Carbon Steel Scissors with Nickel-Plated Handles, 3 7/8" Cut, 8"L</t>
  </si>
  <si>
    <t>OtterBox Commuter Series Case - iPhone 5 &amp; 5s</t>
  </si>
  <si>
    <t>Advantus Plastic Paper Clips</t>
  </si>
  <si>
    <t>Avery 50</t>
  </si>
  <si>
    <t>SanDisk Cruzer 32 GB USB Flash Drive</t>
  </si>
  <si>
    <t>GBC Poly Designer Binding Covers</t>
  </si>
  <si>
    <t>Cisco Unified IP Phone 7945G VoIP phone</t>
  </si>
  <si>
    <t>Howard Miller 11-1/2" Diameter Grantwood Wall Clock</t>
  </si>
  <si>
    <t>Belkin F9M820V08 8 Outlet Surge</t>
  </si>
  <si>
    <t>Bevis Round Conference Table Top &amp; Single Column Base</t>
  </si>
  <si>
    <t>Cranston</t>
  </si>
  <si>
    <t>GBC Recycled VeloBinder Covers</t>
  </si>
  <si>
    <t>Fellowes Advanced Computer Series Surge Protectors</t>
  </si>
  <si>
    <t>Chromcraft Bull-Nose Wood Round Conference Table Top, Wood Base</t>
  </si>
  <si>
    <t>Nortel Business Series Terminal T7208 Digital phone</t>
  </si>
  <si>
    <t>Apopka</t>
  </si>
  <si>
    <t>DataProducts Ampli Magnifier Task Lamp, Black,</t>
  </si>
  <si>
    <t>Anker Ultra-Slim Mini Bluetooth 3.0 Wireless Keyboard</t>
  </si>
  <si>
    <t>Eldon Wave Desk Accessories</t>
  </si>
  <si>
    <t>Square Ring Data Binders, Rigid 75 Pt. Covers, 11" x 14-7/8"</t>
  </si>
  <si>
    <t>Grand Prairie</t>
  </si>
  <si>
    <t>Xerox 188</t>
  </si>
  <si>
    <t>Eldon 200 Class Desk Accessories, Burgundy</t>
  </si>
  <si>
    <t>DAX Contemporary Wood Frame with Silver Metal Mat, Desktop, 11 x 14 Size</t>
  </si>
  <si>
    <t>Xerox 216</t>
  </si>
  <si>
    <t>Hon 4060 Series Tables</t>
  </si>
  <si>
    <t>Wirebound Message Books, Four 2 3/4 x 5 White Forms per Page</t>
  </si>
  <si>
    <t>Panasonic Kx-TS550</t>
  </si>
  <si>
    <t>I Need's 3d Hello Kitty Hybrid Silicone Case Cover for HTC One X 4g with 3d Hello Kitty Stylus Pen Green/pink</t>
  </si>
  <si>
    <t>Luxo Economy Swing Arm Lamp</t>
  </si>
  <si>
    <t>Seth Thomas 14" Putty-Colored Wall Clock</t>
  </si>
  <si>
    <t>GE 2-Jack Phone Line Splitter</t>
  </si>
  <si>
    <t>Pizazz Global Quick File</t>
  </si>
  <si>
    <t>Rediform S.O.S. 1-Up Phone Message Bk, 4-1/4x3-1/16 Bk, 1 Form/Pg, 40 Messages/Bk, 3/Pk</t>
  </si>
  <si>
    <t>Executive Impressions 14" Two-Color Numerals Wall Clock</t>
  </si>
  <si>
    <t>Newell 345</t>
  </si>
  <si>
    <t>Petty Cash Envelope</t>
  </si>
  <si>
    <t>Advantus Motivational Note Cards</t>
  </si>
  <si>
    <t>Xerox 1938</t>
  </si>
  <si>
    <t>Executive Impressions 14" Contract Wall Clock</t>
  </si>
  <si>
    <t>Newell 34</t>
  </si>
  <si>
    <t>Multi-Use Personal File Cart and Caster Set, Three Stacking Bins</t>
  </si>
  <si>
    <t>Xerox 1912</t>
  </si>
  <si>
    <t>Redlands</t>
  </si>
  <si>
    <t>Boston 19500 Mighty Mite Electric Pencil Sharpener</t>
  </si>
  <si>
    <t>Model L Table or Wall-Mount Pencil Sharpener</t>
  </si>
  <si>
    <t>Computer Printout Paper with Letter-Trim Fine Perforations</t>
  </si>
  <si>
    <t>Microsoft Arc Touch Mouse</t>
  </si>
  <si>
    <t>Verbatim 25 GB 6x Blu-ray Single Layer Recordable Disc, 25/Pack</t>
  </si>
  <si>
    <t>RCA ViSYS 25825 Wireless digital phone</t>
  </si>
  <si>
    <t>3M Office Air Cleaner</t>
  </si>
  <si>
    <t>Logan</t>
  </si>
  <si>
    <t>Premium Transparent Presentation Covers, No Pattern/Clear, 8 1/2" x 11"</t>
  </si>
  <si>
    <t>Advantus Rolling Storage Box</t>
  </si>
  <si>
    <t>Mobile Personal File Cube</t>
  </si>
  <si>
    <t>Xerox 214</t>
  </si>
  <si>
    <t>Clear Mylar Reinforcing Strips</t>
  </si>
  <si>
    <t>Santa Clara</t>
  </si>
  <si>
    <t>Avery Legal 4-Ring Binder</t>
  </si>
  <si>
    <t>Xerox 209</t>
  </si>
  <si>
    <t>DMI Eclipse Executive Suite Bookcases</t>
  </si>
  <si>
    <t>Miami</t>
  </si>
  <si>
    <t>Logitech Wireless Anywhere Mouse MX for PC and Mac</t>
  </si>
  <si>
    <t>Belkin 8 Outlet SurgeMaster II Gold Surge Protector</t>
  </si>
  <si>
    <t>AT&amp;T SB67148 SynJ</t>
  </si>
  <si>
    <t>Xerox 1982</t>
  </si>
  <si>
    <t>DAX Two-Tone Rosewood/Black Document Frame, Desktop, 5 x 7</t>
  </si>
  <si>
    <t>Acco PRESSTEX Data Binder with Storage Hooks, Dark Blue, 14 7/8" X 11"</t>
  </si>
  <si>
    <t>Xerox 1931</t>
  </si>
  <si>
    <t>Executive Impressions 13" Clairmont Wall Clock</t>
  </si>
  <si>
    <t>Maxell 4.7GB DVD+RW 3/Pack</t>
  </si>
  <si>
    <t>Jensen SMPS-640 - speaker phone</t>
  </si>
  <si>
    <t>Deluxe Heavy-Duty Vinyl Round Ring Binder</t>
  </si>
  <si>
    <t>Quality Park Security Envelopes</t>
  </si>
  <si>
    <t>Black Print Carbonless Snap-Off Rapid Letter, 8 1/2" x 7"</t>
  </si>
  <si>
    <t>Executive Impressions 10" Spectator Wall Clock</t>
  </si>
  <si>
    <t>Wirebound Message Book, 4 per Page</t>
  </si>
  <si>
    <t>Holmes Replacement Filter for HEPA Air Cleaner, Medium Room</t>
  </si>
  <si>
    <t>Niagara Falls</t>
  </si>
  <si>
    <t>Cisco SPA112 2 Port Phone Adapter</t>
  </si>
  <si>
    <t>Avery Arch Ring Binders</t>
  </si>
  <si>
    <t>Holmes 99% HEPA Air Purifier</t>
  </si>
  <si>
    <t>Fiskars Softgrip Scissors</t>
  </si>
  <si>
    <t>SimpliFile Personal File, Black Granite, 15w x 6-15/16d x 11-1/4h</t>
  </si>
  <si>
    <t>Xerox 225</t>
  </si>
  <si>
    <t>Avery Trapezoid Ring Binder, 3" Capacity, Black, 1040 sheets</t>
  </si>
  <si>
    <t>Plastic Binding Combs</t>
  </si>
  <si>
    <t>DAX Two-Tone Silver Metal Document Frame</t>
  </si>
  <si>
    <t>Orem</t>
  </si>
  <si>
    <t>Aluminum Document Frame</t>
  </si>
  <si>
    <t>Micro Innovations USB RF Wireless Keyboard with Mouse</t>
  </si>
  <si>
    <t>Samsung Galaxy S III - 16GB - pebble blue (T-Mobile)</t>
  </si>
  <si>
    <t>Monroe</t>
  </si>
  <si>
    <t>Nokia Lumia 521 (T-Mobile)</t>
  </si>
  <si>
    <t>Weyerhaeuser First Choice Laser/Copy Paper (20Lb. and 88 Bright)</t>
  </si>
  <si>
    <t>Cisco 8x8 Inc. 6753i IP Business Phone System</t>
  </si>
  <si>
    <t>Belkin 8-Outlet Premiere SurgeMaster II Surge Protectors</t>
  </si>
  <si>
    <t>Laser &amp; Ink Jet Business Envelopes</t>
  </si>
  <si>
    <t>Xerox 1895</t>
  </si>
  <si>
    <t>Xerox 1996</t>
  </si>
  <si>
    <t>Dana Fluorescent Magnifying Lamp, White, 36"</t>
  </si>
  <si>
    <t>Acco Six-Outlet Power Strip, 4' Cord Length</t>
  </si>
  <si>
    <t>Nu-Dell Leatherette Frames</t>
  </si>
  <si>
    <t>Avery 490</t>
  </si>
  <si>
    <t>Inter-Office Recycled Envelopes, Brown Kraft, Button-String,10" x 13" , 100/Box</t>
  </si>
  <si>
    <t>Padded Folding Chairs, Black, 4/Carton</t>
  </si>
  <si>
    <t>Southworth 25% Cotton Antique Laid Paper &amp; Envelopes</t>
  </si>
  <si>
    <t>APC 7 Outlet Network SurgeArrest Surge Protector</t>
  </si>
  <si>
    <t>Nashville</t>
  </si>
  <si>
    <t>Standard Line “While You Were Out” Hardbound Telephone Message Book</t>
  </si>
  <si>
    <t>Avaya 4621SW VoIP phone</t>
  </si>
  <si>
    <t>Xerox 1892</t>
  </si>
  <si>
    <t>Bowling Green</t>
  </si>
  <si>
    <t>Belkin SportFit Armband For iPhone 5s/5c, Fuchsia</t>
  </si>
  <si>
    <t>Xerox 1894</t>
  </si>
  <si>
    <t>Logitech G105 Gaming Keyboard</t>
  </si>
  <si>
    <t>Electrix 20W Halogen Replacement Bulb for Zoom-In Desk Lamp</t>
  </si>
  <si>
    <t>Fellowes Stor/Drawer Steel Plus Storage Drawers</t>
  </si>
  <si>
    <t>Acco Glide Clips</t>
  </si>
  <si>
    <t>Sterilite Officeware Hinged File Box</t>
  </si>
  <si>
    <t>SANFORD Major Accent Highlighters</t>
  </si>
  <si>
    <t>Xerox 1997</t>
  </si>
  <si>
    <t>Speediset Carbonless Redi-Letter 7" x 8 1/2"</t>
  </si>
  <si>
    <t>Eldon Simplefile Box Office</t>
  </si>
  <si>
    <t>Global Deluxe Stacking Chair, Gray</t>
  </si>
  <si>
    <t>Macon</t>
  </si>
  <si>
    <t>XtraLife ClearVue Slant-D Ring Binder, White, 3"</t>
  </si>
  <si>
    <t>BlueLounge Milo Smartphone Stand, White/Metallic</t>
  </si>
  <si>
    <t>Xerox 202</t>
  </si>
  <si>
    <t>Deluxe Chalkboard Eraser Cleaner</t>
  </si>
  <si>
    <t>Panasonic KX T7731-B Digital phone</t>
  </si>
  <si>
    <t>Xerox 1918</t>
  </si>
  <si>
    <t>Xerox 1968</t>
  </si>
  <si>
    <t>3M Polarizing Light Filter Sleeves</t>
  </si>
  <si>
    <t>Peoria</t>
  </si>
  <si>
    <t>Panasonic KX-TG6844B Expandable Digital Cordless Telephone</t>
  </si>
  <si>
    <t>Avery 486</t>
  </si>
  <si>
    <t>Tripp Lite Isotel 6 Outlet Surge Protector with Fax/Modem Protection</t>
  </si>
  <si>
    <t>Ultra Door Pull Handle</t>
  </si>
  <si>
    <t>Paterson</t>
  </si>
  <si>
    <t>Avery 503</t>
  </si>
  <si>
    <t>Xerox 1978</t>
  </si>
  <si>
    <t>Security-Tint Envelopes</t>
  </si>
  <si>
    <t>Avery 489</t>
  </si>
  <si>
    <t>Hon Deluxe Fabric Upholstered Stacking Chairs, Squared Back</t>
  </si>
  <si>
    <t>Electrix Fluorescent Magnifier Lamps &amp; Weighted Base</t>
  </si>
  <si>
    <t>Fayetteville</t>
  </si>
  <si>
    <t>White GlueTop Scratch Pads</t>
  </si>
  <si>
    <t>Leominster</t>
  </si>
  <si>
    <t>Adams Telephone Message Book W/Dividers/Space For Phone Numbers, 5 1/4"X8 1/2", 200/Messages</t>
  </si>
  <si>
    <t>Maxell 74 Minute CDR, 10/Pack</t>
  </si>
  <si>
    <t>Executive Impressions 13" Chairman Wall Clock</t>
  </si>
  <si>
    <t>Acme Box Cutter Scissors</t>
  </si>
  <si>
    <t>Panasonic KP-350BK Electric Pencil Sharpener with Auto Stop</t>
  </si>
  <si>
    <t>Oxnard</t>
  </si>
  <si>
    <t>Deflect-o DuraMat Lighweight, Studded, Beveled Mat for Low Pile Carpeting</t>
  </si>
  <si>
    <t>Newell 324</t>
  </si>
  <si>
    <t>Fellowes Binding Cases</t>
  </si>
  <si>
    <t>Seth Thomas 13 1/2" Wall Clock</t>
  </si>
  <si>
    <t>Las Vegas</t>
  </si>
  <si>
    <t>Xerox 195</t>
  </si>
  <si>
    <t>Boston Home &amp; Office Model 2000 Electric Pencil Sharpeners</t>
  </si>
  <si>
    <t>Mesa</t>
  </si>
  <si>
    <t>Xerox 1973</t>
  </si>
  <si>
    <t>Logitech Illuminated Ultrathin Keyboard with Backlighting</t>
  </si>
  <si>
    <t>Boston 16801 Nautilus Battery Pencil Sharpener</t>
  </si>
  <si>
    <t>GE DSL Phone Line Filter</t>
  </si>
  <si>
    <t>Xerox 205</t>
  </si>
  <si>
    <t>Xerox 1905</t>
  </si>
  <si>
    <t>Career Cubicle Clock, 8 1/4", Black</t>
  </si>
  <si>
    <t>Avery 499</t>
  </si>
  <si>
    <t>Clarity 53712</t>
  </si>
  <si>
    <t>Grand Rapids</t>
  </si>
  <si>
    <t>Xerox 1993</t>
  </si>
  <si>
    <t>Xerox 192</t>
  </si>
  <si>
    <t>Avery Hi-Liter EverBold Pen Style Fluorescent Highlighters, 4/Pack</t>
  </si>
  <si>
    <t>DAX Clear Channel Poster Frame</t>
  </si>
  <si>
    <t>Panasonic KP-4ABK Battery-Operated Pencil Sharpener</t>
  </si>
  <si>
    <t>Acme Forged Steel Scissors with Black Enamel Handles</t>
  </si>
  <si>
    <t>Holmes Odor Grabber</t>
  </si>
  <si>
    <t>X-Rack File for Hanging Folders</t>
  </si>
  <si>
    <t>Fellowes Super Stor/Drawer</t>
  </si>
  <si>
    <t>Xerox 1948</t>
  </si>
  <si>
    <t>Xerox 217</t>
  </si>
  <si>
    <t>Fellowes Mighty 8 Compact Surge Protector</t>
  </si>
  <si>
    <t>Canon PC170 Desktop Personal Copier</t>
  </si>
  <si>
    <t>Verbatim 25 GB 6x Blu-ray Single Layer Recordable Disc, 3/Pack</t>
  </si>
  <si>
    <t>Southworth 25% Cotton Linen-Finish Paper &amp; Envelopes</t>
  </si>
  <si>
    <t>Micropad Numeric Keypads</t>
  </si>
  <si>
    <t>DXL Angle-View Binders with Locking Rings by Samsill</t>
  </si>
  <si>
    <t>Belkin F8E887 USB Wired Ergonomic Keyboard</t>
  </si>
  <si>
    <t>Xerox 1903</t>
  </si>
  <si>
    <t>Magnifier Swing Arm Lamp</t>
  </si>
  <si>
    <t>Southworth 100% Cotton The Best Paper</t>
  </si>
  <si>
    <t>Astroparche Fine Business Paper</t>
  </si>
  <si>
    <t>Manteca</t>
  </si>
  <si>
    <t>#10- 4 1/8" x 9 1/2" Security-Tint Envelopes</t>
  </si>
  <si>
    <t>Square Credit Card Reader, 4 1/2" x 4 1/2" x 1", White</t>
  </si>
  <si>
    <t>GBC Standard Plastic Binding Systems' Combs</t>
  </si>
  <si>
    <t>Logitech B530 USB Headset - headset - Full size, Binaural</t>
  </si>
  <si>
    <t>Kingston Digital DataTraveler 16GB USB 2.0</t>
  </si>
  <si>
    <t>Texas Instruments TI-34 Scientific Calculator</t>
  </si>
  <si>
    <t>Great White Multi-Use Recycled Paper (20Lb. and 84 Bright)</t>
  </si>
  <si>
    <t>Self-Adhesive Address Labels for Typewriters by Universal</t>
  </si>
  <si>
    <t>Acco Data Flex Cable Posts For Top &amp; Bottom Load Binders, 6" Capacity</t>
  </si>
  <si>
    <t>New Albany</t>
  </si>
  <si>
    <t>Global Leather Task Chair, Black</t>
  </si>
  <si>
    <t>Xerox 23</t>
  </si>
  <si>
    <t>Eldon Fold 'N Roll Cart System</t>
  </si>
  <si>
    <t>#10-4 1/8" x 9 1/2" Premium Diagonal Seam Envelopes</t>
  </si>
  <si>
    <t>Dearborn Heights</t>
  </si>
  <si>
    <t>Stanley Contemporary Battery Pencil Sharpeners</t>
  </si>
  <si>
    <t>Xerox 203</t>
  </si>
  <si>
    <t>Logitech LS21 Speaker System - PC Multimedia - 2.1-CH - Wired</t>
  </si>
  <si>
    <t>Tenex File Box, Personal Filing Tote with Lid, Black</t>
  </si>
  <si>
    <t>Xerox 1977</t>
  </si>
  <si>
    <t>DAX Black Cherry Wood-Tone Poster Frame</t>
  </si>
  <si>
    <t>Artistic Insta-Plaque</t>
  </si>
  <si>
    <t>Adams Telephone Message Book W/Dividers/Space For Phone Numbers, 5 1/4"X8 1/2", 300/Messages</t>
  </si>
  <si>
    <t>Xerox 220</t>
  </si>
  <si>
    <t>Xerox 222</t>
  </si>
  <si>
    <t>Xerox 1959</t>
  </si>
  <si>
    <t>Cambridge</t>
  </si>
  <si>
    <t>Xerox 1936</t>
  </si>
  <si>
    <t>Eldon 500 Class Desk Accessories</t>
  </si>
  <si>
    <t>Acco 6 Outlet Guardian Premium Surge Suppressor</t>
  </si>
  <si>
    <t>Wirebound Service Call Books, 5 1/2" x 4"</t>
  </si>
  <si>
    <t>Hewlett-Packard 300S Scientific Calculator</t>
  </si>
  <si>
    <t>OIC Binder Clips</t>
  </si>
  <si>
    <t>Polycom CX300 Desktop Phone USB VoIP phone</t>
  </si>
  <si>
    <t>GBC Plastic Binding Combs</t>
  </si>
  <si>
    <t>Bulldog Vacuum Base Pencil Sharpener</t>
  </si>
  <si>
    <t>It's Hot Message Books with Stickers, 2 3/4" x 5"</t>
  </si>
  <si>
    <t>Letter Size File</t>
  </si>
  <si>
    <t>Desktop 3-Pocket Hot File</t>
  </si>
  <si>
    <t>Xerox 1955</t>
  </si>
  <si>
    <t>Xerox 1930</t>
  </si>
  <si>
    <t>Panasonic KP-310 Heavy-Duty Electric Pencil Sharpener</t>
  </si>
  <si>
    <t>OIC Colored Binder Clips, Assorted Sizes</t>
  </si>
  <si>
    <t>Olathe</t>
  </si>
  <si>
    <t>Seth Thomas 8 1/2" Cubicle Clock</t>
  </si>
  <si>
    <t>Things To Do Today Pad</t>
  </si>
  <si>
    <t>Florence</t>
  </si>
  <si>
    <t>Canvas Sectional Post Binders</t>
  </si>
  <si>
    <t>Recycled Eldon Regeneration Jumbo File</t>
  </si>
  <si>
    <t>GBC Binding covers</t>
  </si>
  <si>
    <t>Dixon Ticonderoga Core-Lock Colored Pencils</t>
  </si>
  <si>
    <t>Wilson Jones Turn Tabs Binder Tool for Ring Binders</t>
  </si>
  <si>
    <t>Cisco Small Business SPA 502G VoIP phone</t>
  </si>
  <si>
    <t>KeyTronic E03601U1 - Keyboard - Beige</t>
  </si>
  <si>
    <t>Fellowes Basic Home/Office Series Surge Protectors</t>
  </si>
  <si>
    <t>Eldon 200 Class Desk Accessories, Smoke</t>
  </si>
  <si>
    <t>Neat Ideas Personal Hanging Folder Files, Black</t>
  </si>
  <si>
    <t>HP Standard 104 key PS/2 Keyboard</t>
  </si>
  <si>
    <t>Xerox 1907</t>
  </si>
  <si>
    <t>Ibico Covers for Plastic or Wire Binding Elements</t>
  </si>
  <si>
    <t>Sony Micro Vault Click 8 GB USB 2.0 Flash Drive</t>
  </si>
  <si>
    <t>Fellowes Superior 10 Outlet Split Surge Protector</t>
  </si>
  <si>
    <t>Xerox 212</t>
  </si>
  <si>
    <t>Xerox 232</t>
  </si>
  <si>
    <t>Eldon Advantage Chair Mats for Low to Medium Pile Carpets</t>
  </si>
  <si>
    <t>Xerox 230</t>
  </si>
  <si>
    <t>Tennsco Lockers, Sand</t>
  </si>
  <si>
    <t>Ampad Phone Message Book, Recycled, 400 Message Capacity, 5 ¾” x 11”</t>
  </si>
  <si>
    <t>C-Line Magnetic Cubicle Keepers, Clear Polypropylene</t>
  </si>
  <si>
    <t>Nu-Dell Float Frame 11 x 14 1/2</t>
  </si>
  <si>
    <t>NeatDesk Desktop Scanner &amp; Digital Filing System</t>
  </si>
  <si>
    <t>Universal Premium White Copier/Laser Paper (20Lb. and 87 Bright)</t>
  </si>
  <si>
    <t>Eldon Image Series Desk Accessories, Ebony</t>
  </si>
  <si>
    <t>Boston 1827 Commercial Additional Cutter, Drive Gear &amp; Gear Rack for 1606</t>
  </si>
  <si>
    <t>Mesquite</t>
  </si>
  <si>
    <t>Acco 3-Hole Punch</t>
  </si>
  <si>
    <t>Belkin Premiere Surge Master II 8-outlet surge protector</t>
  </si>
  <si>
    <t>Lumber Crayons</t>
  </si>
  <si>
    <t>Eureka Hand Vacuum, Bagless</t>
  </si>
  <si>
    <t>Riverleaf Stik-Withit Designer Note Cubes</t>
  </si>
  <si>
    <t>Portable Personal File Box</t>
  </si>
  <si>
    <t>Wilson Jones Century Plastic Molded Ring Binders</t>
  </si>
  <si>
    <t>Wilson Jones Hanging View Binder, White, 1"</t>
  </si>
  <si>
    <t>DAX Executive Solid Wood Document Frame, Desktop or Hang, Mahogany, 5 x 7</t>
  </si>
  <si>
    <t>Permanent Self-Adhesive File Folder Labels for Typewriters, 1 1/8 x 3 1/2, White</t>
  </si>
  <si>
    <t>SAFCO PlanMaster Boards, 60w x 37-1/2d, White Melamine</t>
  </si>
  <si>
    <t>Delray Beach</t>
  </si>
  <si>
    <t>Avery 476</t>
  </si>
  <si>
    <t>Leather Task Chair, Black</t>
  </si>
  <si>
    <t>Xerox 1947</t>
  </si>
  <si>
    <t>Message Book, Wirebound, Four 5 1/2" X 4" Forms/Pg., 200 Dupl. Sets/Book</t>
  </si>
  <si>
    <t>4009 Highlighters by Sanford</t>
  </si>
  <si>
    <t>Strathmore Photo Frame Cards</t>
  </si>
  <si>
    <t>Logitech Wireless Touch Keyboard K400</t>
  </si>
  <si>
    <t>Black &amp; Decker Filter for Double Action Dustbuster Cordless Vac BLDV7210</t>
  </si>
  <si>
    <t>BIC Liqua Brite Liner</t>
  </si>
  <si>
    <t>Adjustable Personal File Tote</t>
  </si>
  <si>
    <t>Memorex Mini Travel Drive 8 GB USB 2.0 Flash Drive</t>
  </si>
  <si>
    <t>Xerox 2</t>
  </si>
  <si>
    <t>Eureka Sanitaire  Commercial Upright</t>
  </si>
  <si>
    <t>Self-Adhesive Removable Labels</t>
  </si>
  <si>
    <t>Xerox 204</t>
  </si>
  <si>
    <t>East Point</t>
  </si>
  <si>
    <t>Eldon Stackable Tray, Side-Load, Legal, Smoke</t>
  </si>
  <si>
    <t>Sony 32GB Class 10 Micro SDHC R40 Memory Card</t>
  </si>
  <si>
    <t>Cherry 142-key Programmable Keyboard</t>
  </si>
  <si>
    <t>Fellowes Personal Hanging Folder Files, Navy</t>
  </si>
  <si>
    <t>DAX Value U-Channel Document Frames, Easel Back</t>
  </si>
  <si>
    <t>GBC Pre-Punched Binding Paper, Plastic, White, 8-1/2" x 11"</t>
  </si>
  <si>
    <t>DAX Cubicle Frames, 8-1/2 x 11</t>
  </si>
  <si>
    <t>Logitech M510 Wireless Mouse</t>
  </si>
  <si>
    <t>Manila Recycled Extra-Heavyweight Clasp Envelopes, 6" x 9"</t>
  </si>
  <si>
    <t>PowerGen Dual USB Car Charger</t>
  </si>
  <si>
    <t>Xerox 4200 Series MultiUse Premium Copy Paper (20Lb. and 84 Bright)</t>
  </si>
  <si>
    <t>Troy</t>
  </si>
  <si>
    <t>#10 Self-Seal White Envelopes</t>
  </si>
  <si>
    <t>Letter/Legal File Tote with Clear Snap-On Lid, Black Granite</t>
  </si>
  <si>
    <t>Message Book, Phone, Wirebound Standard Line Memo, 2 3/4" X 5"</t>
  </si>
  <si>
    <t>Avery 519</t>
  </si>
  <si>
    <t>Avery 516</t>
  </si>
  <si>
    <t>File Shuttle I and Handi-File</t>
  </si>
  <si>
    <t>Crate-A-Files</t>
  </si>
  <si>
    <t>Kirkwood</t>
  </si>
  <si>
    <t>Tenex V2T-RE Standard Weight Series Chair Mat, 45" x 53", Lip 25" x 12"</t>
  </si>
  <si>
    <t>Stur-D-Stor Shelving, Vertical 5-Shelf: 72"H x 36"W x 18 1/2"D</t>
  </si>
  <si>
    <t>Hanging Personal Folder File</t>
  </si>
  <si>
    <t>Xerox 213</t>
  </si>
  <si>
    <t>ACCOHIDE 3-Ring Binder, Blue, 1"</t>
  </si>
  <si>
    <t>Fellowes Smart Surge Ten-Outlet Protector, Platinum</t>
  </si>
  <si>
    <t>Storex Dura Pro Binders</t>
  </si>
  <si>
    <t>AT&amp;T CL2909</t>
  </si>
  <si>
    <t>Gresham</t>
  </si>
  <si>
    <t>Peel &amp; Seel Envelopes</t>
  </si>
  <si>
    <t>Pembroke Pines</t>
  </si>
  <si>
    <t>Logitech Media Keyboard K200</t>
  </si>
  <si>
    <t>Apple EarPods with Remote and Mic</t>
  </si>
  <si>
    <t>Fellowes Desktop Hanging File Manager</t>
  </si>
  <si>
    <t>Auburn</t>
  </si>
  <si>
    <t>HP Office Recycled Paper (20Lb. and 87 Bright)</t>
  </si>
  <si>
    <t>Wilson Jones Clip &amp; Carry Folder Binder Tool for Ring Binders, Clear</t>
  </si>
  <si>
    <t>JM Magazine Binder</t>
  </si>
  <si>
    <t>Eldon Executive Woodline II Desk Accessories, Mahogany</t>
  </si>
  <si>
    <t>Acme Galleria Hot Forged Steel Scissors with Colored Handles</t>
  </si>
  <si>
    <t>Sanford Prismacolor Professional Thick Lead Art Pencils, 36-Color Set</t>
  </si>
  <si>
    <t>Berol Giant Pencil Sharpener</t>
  </si>
  <si>
    <t>Hewlett-Packard Deskjet 5550 Printer</t>
  </si>
  <si>
    <t>GBC Premium Transparent Covers with Diagonal Lined Pattern</t>
  </si>
  <si>
    <t>Array Parchment Paper, Assorted Colors</t>
  </si>
  <si>
    <t>Master Caster Door Stop, Brown</t>
  </si>
  <si>
    <t>Avery 518</t>
  </si>
  <si>
    <t>Mount Pleasant</t>
  </si>
  <si>
    <t>Global Highback Leather Tilter in Burgundy</t>
  </si>
  <si>
    <t>Xerox 1928</t>
  </si>
  <si>
    <t>Wirebound Message Books, Two 4 1/4" x 5" Forms per Page</t>
  </si>
  <si>
    <t>Acco Banker's Clasps, 5 3/4"-Long</t>
  </si>
  <si>
    <t>Fellowes Recycled Storage Drawers</t>
  </si>
  <si>
    <t>Avery File Folder Labels</t>
  </si>
  <si>
    <t>DAX Charcoal/Nickel-Tone Document Frame, 5 x 7</t>
  </si>
  <si>
    <t>Holmes Cool Mist Humidifier for the Whole House with 8-Gallon Output per Day, Extended Life Filter</t>
  </si>
  <si>
    <t>Sanford Liquid Accent Highlighters</t>
  </si>
  <si>
    <t>Bush Cubix Collection Bookcases, Fully Assembled</t>
  </si>
  <si>
    <t>Ink Jet Note and Greeting Cards, 8-1/2" x 5-1/2" Card Size</t>
  </si>
  <si>
    <t>Wilson Jones Legal Size Ring Binders</t>
  </si>
  <si>
    <t>Eldon Imàge Series Desk Accessories, Clear</t>
  </si>
  <si>
    <t>HP Officejet Pro 8600 e-All-In-One Printer, Copier, Scanner, Fax</t>
  </si>
  <si>
    <t>Holmes Replacement Filter for HEPA Air Cleaner, Large Room</t>
  </si>
  <si>
    <t>Xerox 1971</t>
  </si>
  <si>
    <t>Pasadena</t>
  </si>
  <si>
    <t>Iris Project Case</t>
  </si>
  <si>
    <t>C-Line Cubicle Keepers Polyproplyene Holder With Velcro Backings</t>
  </si>
  <si>
    <t>Xerox 1995</t>
  </si>
  <si>
    <t>Wirebound Four 2-3/4 x 5 Forms per Page, 400 Sets per Book</t>
  </si>
  <si>
    <t>Office Star - Task Chair with Contemporary Loop Arms</t>
  </si>
  <si>
    <t>Logitech K350 2.4Ghz Wireless Keyboard</t>
  </si>
  <si>
    <t>Wirebound Message Books, Four 2 3/4 x 5 Forms per Page, 200 Sets per Book</t>
  </si>
  <si>
    <t>Ampad Gold Fibre Wirebound Steno Books, 6" x 9", Gregg Ruled</t>
  </si>
  <si>
    <t>Xerox Blank Computer Paper</t>
  </si>
  <si>
    <t>Xerox 228</t>
  </si>
  <si>
    <t>Xerox 219</t>
  </si>
  <si>
    <t>Eldon Expressions Wood and Plastic Desk Accessories, Cherry Wood</t>
  </si>
  <si>
    <t>Xerox 227</t>
  </si>
  <si>
    <t>Eldon Antistatic Chair Mats for Low to Medium Pile Carpets</t>
  </si>
  <si>
    <t>Xerox 201</t>
  </si>
  <si>
    <t>Eureka Recycled Copy Paper 8 1/2" x 11", Ream</t>
  </si>
  <si>
    <t>Cardinal Slant-D Ring Binders</t>
  </si>
  <si>
    <t>Griffin GC17055 Auxiliary Audio Cable</t>
  </si>
  <si>
    <t>Grandstream GXP2100 Mainstream Business Phone</t>
  </si>
  <si>
    <t>Spigen Samsung Galaxy S5 Case Wallet</t>
  </si>
  <si>
    <t>Fiskars 8" Scissors, 2/Pack</t>
  </si>
  <si>
    <t>Xerox 1987</t>
  </si>
  <si>
    <t>Wirebound Message Books, 2 7/8" x 5", 3 Forms per Page</t>
  </si>
  <si>
    <t>Wasp CCD Handheld Bar Code Reader</t>
  </si>
  <si>
    <t>Xerox 1952</t>
  </si>
  <si>
    <t>Tenex Personal Self-Stacking Standard File Box, Black/Gray</t>
  </si>
  <si>
    <t>Staple magnet</t>
  </si>
  <si>
    <t>Longer-Life Soft White Bulbs</t>
  </si>
  <si>
    <t>Boston 1730 StandUp Electric Pencil Sharpener</t>
  </si>
  <si>
    <t>Panasonic KX TS3282B Corded phone</t>
  </si>
  <si>
    <t>Westinghouse Clip-On Gooseneck Lamps</t>
  </si>
  <si>
    <t>Project Tote Personal File</t>
  </si>
  <si>
    <t>Global Stack Chair without Arms, Black</t>
  </si>
  <si>
    <t>Xerox 1900</t>
  </si>
  <si>
    <t>Acme Office Executive Series Stainless Steel Trimmers</t>
  </si>
  <si>
    <t>Odessa</t>
  </si>
  <si>
    <t>Rediform Wirebound "Phone Memo" Message Book, 11 x 5-3/4</t>
  </si>
  <si>
    <t>Fellowes 8 Outlet Superior Workstation Surge Protector w/o Phone/Fax/Modem Protection</t>
  </si>
  <si>
    <t>BIC Brite Liner Grip Highlighters, Assorted, 5/Pack</t>
  </si>
  <si>
    <t>Xerox 1962</t>
  </si>
  <si>
    <t>Xerox 21</t>
  </si>
  <si>
    <t>Avery Non-Stick Binders</t>
  </si>
  <si>
    <t>Xerox 1970</t>
  </si>
  <si>
    <t>Xerox 1949</t>
  </si>
  <si>
    <t>Avery Metallic Poly Binders</t>
  </si>
  <si>
    <t>Suffolk</t>
  </si>
  <si>
    <t>Avery 478</t>
  </si>
  <si>
    <t>Advantus Push Pins, Aluminum Head</t>
  </si>
  <si>
    <t>Canon Color ImageCLASS MF8580Cdw Wireless Laser All-In-One Printer, Copier, Scanner</t>
  </si>
  <si>
    <t>Logitech G13 Programmable Gameboard with LCD Display</t>
  </si>
  <si>
    <t>Adams Phone Message Book, Professional, 400 Message Capacity, 5 3/6” x 11”</t>
  </si>
  <si>
    <t>Appleton</t>
  </si>
  <si>
    <t>Avery 481</t>
  </si>
  <si>
    <t>Cisco SPA525G2 IP Phone - Wireless</t>
  </si>
  <si>
    <t>Dixon Prang Watercolor Pencils, 10-Color Set with Brush</t>
  </si>
  <si>
    <t>Xerox 1992</t>
  </si>
  <si>
    <t>Dublin</t>
  </si>
  <si>
    <t>Stanley Bostitch Contemporary Electric Pencil Sharpeners</t>
  </si>
  <si>
    <t>Master Big Foot Doorstop, Beige</t>
  </si>
  <si>
    <t>Avery 495</t>
  </si>
  <si>
    <t>Logitech Desktop MK120 Mouse and keyboard Combo</t>
  </si>
  <si>
    <t>Avery 480</t>
  </si>
  <si>
    <t>Memorex Froggy Flash Drive 4 GB</t>
  </si>
  <si>
    <t>Avery Printable Repositionable Plastic Tabs</t>
  </si>
  <si>
    <t>Master Caster Door Stop, Large Neon Orange</t>
  </si>
  <si>
    <t>GE 4 Foot Flourescent Tube, 40 Watt</t>
  </si>
  <si>
    <t>DXL Angle-View Binders with Locking Rings, Black</t>
  </si>
  <si>
    <t>Verbatim 25 GB 6x Blu-ray Single Layer Recordable Disc, 10/Pack</t>
  </si>
  <si>
    <t>Eldon Expressions Wood and Plastic Desk Accessories, Oak</t>
  </si>
  <si>
    <t>Linden 10" Round Wall Clock, Black</t>
  </si>
  <si>
    <t>LF Elite 3D Dazzle Designer Hard Case Cover, Lf Stylus Pen and Wiper For Apple Iphone 5c Mini Lite</t>
  </si>
  <si>
    <t>Avery White Multi-Purpose Labels</t>
  </si>
  <si>
    <t>Fellowes Advanced 8 Outlet Surge Suppressor with Phone/Fax Protection</t>
  </si>
  <si>
    <t>GBC Wire Binding Combs</t>
  </si>
  <si>
    <t>Maxell 4.7GB DVD-RW 3/Pack</t>
  </si>
  <si>
    <t>Holmes HEPA Air Purifier</t>
  </si>
  <si>
    <t>Avery 51</t>
  </si>
  <si>
    <t>Bellevue</t>
  </si>
  <si>
    <t>Xerox 1999</t>
  </si>
  <si>
    <t>Aluminum Screw Posts</t>
  </si>
  <si>
    <t>Global Commerce Series Low-Back Swivel/Tilt Chairs</t>
  </si>
  <si>
    <t>Xerox 211</t>
  </si>
  <si>
    <t>Xerox 1956</t>
  </si>
  <si>
    <t>Telephone Message Books with Fax/Mobile Section, 5 1/2" x 3 3/16"</t>
  </si>
  <si>
    <t>Xerox 1920</t>
  </si>
  <si>
    <t>Xerox 1986</t>
  </si>
  <si>
    <t>Classic Ivory Antique Telephone ZL1810</t>
  </si>
  <si>
    <t>San Bernardino</t>
  </si>
  <si>
    <t>GBC Imprintable Covers</t>
  </si>
  <si>
    <t>Recycled Premium Regency Composition Covers</t>
  </si>
  <si>
    <t>Naperville</t>
  </si>
  <si>
    <t>Avery 508</t>
  </si>
  <si>
    <t>Eldon Econocleat Chair Mats for Low Pile Carpets</t>
  </si>
  <si>
    <t>Lubbock</t>
  </si>
  <si>
    <t>DAX Copper Panel Document Frame, 5 x 7 Size</t>
  </si>
  <si>
    <t>Xerox 1957</t>
  </si>
  <si>
    <t>Avery 48</t>
  </si>
  <si>
    <t>TOPS Money Receipt Book, Consecutively Numbered in Red,</t>
  </si>
  <si>
    <t>Super Decoflex Portable Personal File</t>
  </si>
  <si>
    <t>Redi-Strip #10 Envelopes, 4 1/8 x 9 1/2</t>
  </si>
  <si>
    <t>Xerox 196</t>
  </si>
  <si>
    <t>Lock-Up Easel 'Spel-Binder'</t>
  </si>
  <si>
    <t>Xerox 1923</t>
  </si>
  <si>
    <t>Eldon 200 Class Desk Accessories</t>
  </si>
  <si>
    <t>Deflect-o SuperTray Unbreakable Stackable Tray, Letter, Black</t>
  </si>
  <si>
    <t>Xerox 1967</t>
  </si>
  <si>
    <t>Prang Colored Pencils</t>
  </si>
  <si>
    <t>Cardinal Holdit Data Disk Pockets</t>
  </si>
  <si>
    <t>Xerox 224</t>
  </si>
  <si>
    <t>Westinghouse Floor Lamp with Metal Mesh Shade, Black</t>
  </si>
  <si>
    <t>Eldon 400 Class Desk Accessories, Black Carbon</t>
  </si>
  <si>
    <t>RSVP Cards &amp; Envelopes, Blank White, 8-1/2" X 11", 24 Cards/25 Envelopes/Set</t>
  </si>
  <si>
    <t>HP Office Paper (20Lb. and 87 Bright)</t>
  </si>
  <si>
    <t>Tensor Track Tree Floor Lamp</t>
  </si>
  <si>
    <t>Xerox 193</t>
  </si>
  <si>
    <t>SanDisk Ultra 32 GB MicroSDHC Class 10 Memory Card</t>
  </si>
  <si>
    <t>SanDisk Ultra 64 GB MicroSDHC Class 10 Memory Card</t>
  </si>
  <si>
    <t>Avery Personal Creations Heavyweight Cards</t>
  </si>
  <si>
    <t>Romeoville</t>
  </si>
  <si>
    <t>Avery Flip-Chart Easel Binder, Black</t>
  </si>
  <si>
    <t>Avery Durable Plastic 1" Binders</t>
  </si>
  <si>
    <t>Harmony HEPA Quiet Air Purifiers</t>
  </si>
  <si>
    <t>Memorex Micro Travel Drive 4 GB</t>
  </si>
  <si>
    <t>Ultra Door Push Plate</t>
  </si>
  <si>
    <t>Personal File Boxes with Fold-Down Carry Handle</t>
  </si>
  <si>
    <t>Elite 5" Scissors</t>
  </si>
  <si>
    <t>Medford</t>
  </si>
  <si>
    <t>TOPS 4 x 6 Fluorescent Color Memo Sheets, 500 Sheets per Pack</t>
  </si>
  <si>
    <t>Xerox 2000</t>
  </si>
  <si>
    <t>Aurora</t>
  </si>
  <si>
    <t>Deflect-O Glasstique Clear Desk Accessories</t>
  </si>
  <si>
    <t>Bolingbrook</t>
  </si>
  <si>
    <t>Acme Tagit Stainless Steel Antibacterial Scissors</t>
  </si>
  <si>
    <t>Ricoh - Ink Collector Unit for GX3000 Series Printers</t>
  </si>
  <si>
    <t>Ann Arbor</t>
  </si>
  <si>
    <t>KLD Oscar II Style Snap-on Ultra Thin Side Flip Synthetic Leather Cover Case for HTC One HTC M7</t>
  </si>
  <si>
    <t>Huntington Beach</t>
  </si>
  <si>
    <t>Avery Hi-Liter Fluorescent Desk Style Markers</t>
  </si>
  <si>
    <t>Newell Chalk Holder</t>
  </si>
  <si>
    <t>Fashion Color Clasp Envelopes</t>
  </si>
  <si>
    <t>RCA ViSYS 25425RE1 Corded phone</t>
  </si>
  <si>
    <t>Southworth Structures Collection</t>
  </si>
  <si>
    <t>Memo Book, 100 Message Capacity, 5 3/8” x 11”</t>
  </si>
  <si>
    <t>3M Hangers With Command Adhesive</t>
  </si>
  <si>
    <t>Avery 487</t>
  </si>
  <si>
    <t>Personal Folder Holder, Ebony</t>
  </si>
  <si>
    <t>OIC Bulk Pack Metal Binder Clips</t>
  </si>
  <si>
    <t>Nu-Dell Oak Frame</t>
  </si>
  <si>
    <t>Vallejo</t>
  </si>
  <si>
    <t>Avery 512</t>
  </si>
  <si>
    <t>Angle-D Binders with Locking Rings, Label Holders</t>
  </si>
  <si>
    <t>Hoover Commercial SteamVac</t>
  </si>
  <si>
    <t>Rapid City</t>
  </si>
  <si>
    <t>Wilson Jones 14 Line Acrylic Coated Pressboard Data Binders</t>
  </si>
  <si>
    <t>Xerox 210</t>
  </si>
  <si>
    <t>Xerox 1946</t>
  </si>
  <si>
    <t>Sony Micro Vault Click 4 GB USB 2.0 Flash Drive</t>
  </si>
  <si>
    <t>Lexmark S315 Color Inkjet Printer</t>
  </si>
  <si>
    <t>Xerox 229</t>
  </si>
  <si>
    <t>Acco Pressboard Covers with Storage Hooks, 9 1/2" x 11", Executive Red</t>
  </si>
  <si>
    <t>Newell 309</t>
  </si>
  <si>
    <t>Newell 312</t>
  </si>
  <si>
    <t>Avery 513</t>
  </si>
  <si>
    <t>Avery 474</t>
  </si>
  <si>
    <t>Quartet Omega Colored Chalk, 12/Pack</t>
  </si>
  <si>
    <t>Avery Hi-Liter Smear-Safe Highlighters</t>
  </si>
  <si>
    <t>Safco Drafting Table</t>
  </si>
  <si>
    <t>WD My Passport Ultra 1TB Portable External Hard Drive</t>
  </si>
  <si>
    <t>Newell 315</t>
  </si>
  <si>
    <t>Xerox 198</t>
  </si>
  <si>
    <t>Eberhard Faber 3 1/2" Golf Pencils</t>
  </si>
  <si>
    <t>Lorain</t>
  </si>
  <si>
    <t>DAX Solid Wood Frames</t>
  </si>
  <si>
    <t>Xerox 221</t>
  </si>
  <si>
    <t>Acme Softgrip Scissors</t>
  </si>
  <si>
    <t>Hot Springs</t>
  </si>
  <si>
    <t>Anker Ultrathin Bluetooth Wireless Keyboard Aluminum Cover with Stand</t>
  </si>
  <si>
    <t>Adams Telephone Message Books, 5 1/4” x 11”</t>
  </si>
  <si>
    <t>50 Colored Long Pencils</t>
  </si>
  <si>
    <t>Xerox 1902</t>
  </si>
  <si>
    <t>Crayola Colored Pencils</t>
  </si>
  <si>
    <t>Xerox 1966</t>
  </si>
  <si>
    <t>Acrylic Self-Standing Desk Frames</t>
  </si>
  <si>
    <t>Xerox 1994</t>
  </si>
  <si>
    <t>Avery 483</t>
  </si>
  <si>
    <t>Oceanside</t>
  </si>
  <si>
    <t>AmazonBasics 3-Button USB Wired Mouse</t>
  </si>
  <si>
    <t>Pomona</t>
  </si>
  <si>
    <t>Smead Alpha-Z Color-Coded Name Labels First Letter Starter Set</t>
  </si>
  <si>
    <t>Xerox 1954</t>
  </si>
  <si>
    <t>Xerox 231</t>
  </si>
  <si>
    <t>Wilson</t>
  </si>
  <si>
    <t>TOPS "Important Message" Pads, Canary, 4-1/4 x 5-1/2, 50 Sheets per Pad</t>
  </si>
  <si>
    <t>Master Giant Foot Doorstop, Safety Yellow</t>
  </si>
  <si>
    <t>Avery 49</t>
  </si>
  <si>
    <t>Avery 52</t>
  </si>
  <si>
    <t>Tallahassee</t>
  </si>
  <si>
    <t>Snap-A-Way Black Print Carbonless Speed Message, No Reply Area, Duplicate</t>
  </si>
  <si>
    <t>Pastel Pink Envelopes</t>
  </si>
  <si>
    <t>GBC White Gloss Covers, Plain Front</t>
  </si>
  <si>
    <t>Adams "While You Were Out" Message Pads</t>
  </si>
  <si>
    <t>Xerox 22</t>
  </si>
  <si>
    <t>Wirebound Message Books, 5-1/2 x 4 Forms, 2 or 4 Forms per Page</t>
  </si>
  <si>
    <t>VariCap6 Expandable Binder</t>
  </si>
  <si>
    <t>BIC Brite Liner Highlighters</t>
  </si>
  <si>
    <t>Avery Non-Stick Heavy Duty View Round Locking Ring Binders</t>
  </si>
  <si>
    <t>New Bedford</t>
  </si>
  <si>
    <t>Wilson Jones “Snap” Scratch Pad Binder Tool for Ring Binders</t>
  </si>
  <si>
    <t>Southworth Parchment Paper &amp; Envelopes</t>
  </si>
  <si>
    <t>Margate</t>
  </si>
  <si>
    <t>BIC Brite Liner Highlighters, Chisel Tip</t>
  </si>
  <si>
    <t>Linden 12" Wall Clock With Oak Frame</t>
  </si>
  <si>
    <t>Westinghouse Mesh Shade Clip-On Gooseneck Lamp, Black</t>
  </si>
  <si>
    <t>Xerox 1975</t>
  </si>
  <si>
    <t>Newell 347</t>
  </si>
  <si>
    <t>Poly String Tie Envelopes</t>
  </si>
  <si>
    <t>Acco Clips to Go Binder Clips, 24 Clips in Two Sizes</t>
  </si>
  <si>
    <t>Xerox 1981</t>
  </si>
  <si>
    <t>Acco Perma 4000 Stacking Storage Drawers</t>
  </si>
  <si>
    <t>Dell Slim USB Multimedia Keyboard</t>
  </si>
  <si>
    <t>Avoid Verbal Orders Carbonless Minifold Book</t>
  </si>
  <si>
    <t>Things To Do Today Spiral Book</t>
  </si>
  <si>
    <t>Newell 325</t>
  </si>
  <si>
    <t>Avery Heavy-Duty EZD View Binder with Locking Rings</t>
  </si>
  <si>
    <t>G.E. Halogen Desk Lamp Bulbs</t>
  </si>
  <si>
    <t>QVS USB Car Charger 2-Port 2.1Amp for iPod/iPhone/iPad/iPad 2/iPad 3</t>
  </si>
  <si>
    <t>Royal Oak</t>
  </si>
  <si>
    <t>Geographics Note Cards, Blank, White, 8 1/2" x 11"</t>
  </si>
  <si>
    <t>Contract Clock, 14", Brown</t>
  </si>
  <si>
    <t>Sheboygan</t>
  </si>
  <si>
    <t>Avery 515</t>
  </si>
  <si>
    <t>Avery Premier Heavy-Duty Binder with Round Locking Rings</t>
  </si>
  <si>
    <t>Perixx PERIBOARD-512B, Ergonomic Split Keyboard</t>
  </si>
  <si>
    <t>Tops Wirebound Message Log Books</t>
  </si>
  <si>
    <t>Mount Vernon</t>
  </si>
  <si>
    <t>Park Ridge Embossed Executive Business Envelopes</t>
  </si>
  <si>
    <t>Avery Heavy-Duty EZD  Binder With Locking Rings</t>
  </si>
  <si>
    <t>Sabrent 4-Port USB 2.0 Hub</t>
  </si>
  <si>
    <t>Belkin 6 Outlet Metallic Surge Strip</t>
  </si>
  <si>
    <t>Xerox 1932</t>
  </si>
  <si>
    <t>Eldon 200 Class Desk Accessories, Black</t>
  </si>
  <si>
    <t>Post-it “Important Message” Note Pad, Neon Colors, 50 Sheets/Pad</t>
  </si>
  <si>
    <t>Seth Thomas 16" Steel Case Clock</t>
  </si>
  <si>
    <t>Avery 506</t>
  </si>
  <si>
    <t>Saint Charles</t>
  </si>
  <si>
    <t>Xerox 1899</t>
  </si>
  <si>
    <t>Magna Visual Magnetic Picture Hangers</t>
  </si>
  <si>
    <t>Xerox 223</t>
  </si>
  <si>
    <t>Manco Dry-Lighter Erasable Highlighter</t>
  </si>
  <si>
    <t>Xerox 1963</t>
  </si>
  <si>
    <t>Ultra Door Kickplate, 8"H x 34"W</t>
  </si>
  <si>
    <t>Bozeman</t>
  </si>
  <si>
    <t>Avery 500</t>
  </si>
  <si>
    <t>Fiskars Home &amp; Office Scissors</t>
  </si>
  <si>
    <t>Seidio BD2-HK3IPH5-BK DILEX Case and Holster Combo for Apple iPhone 5/5s - Black</t>
  </si>
  <si>
    <t>O'Sullivan Cherrywood Estates Traditional Bookcase</t>
  </si>
  <si>
    <t>Xerox 1897</t>
  </si>
  <si>
    <t>Prang Drawing Pencil Set</t>
  </si>
  <si>
    <t>Wilson Jones Standard D-Ring Binders</t>
  </si>
  <si>
    <t>Xerox 1974</t>
  </si>
  <si>
    <t>Hamilton</t>
  </si>
  <si>
    <t>Binney &amp; Smith Crayola Metallic Colored Pencils, 8-Color Set</t>
  </si>
  <si>
    <t>Newell 341</t>
  </si>
  <si>
    <t>DIXON Ticonderoga Erasable Checking Pencils</t>
  </si>
  <si>
    <t>OIC Stacking Trays</t>
  </si>
  <si>
    <t>Cardinal EasyOpen D-Ring Binders</t>
  </si>
  <si>
    <t>Acme Preferred Stainless Steel Scissors</t>
  </si>
  <si>
    <t>6" Cubicle Wall Clock, Black</t>
  </si>
  <si>
    <t>DAX Metal Frame, Desktop, Stepped-Edge</t>
  </si>
  <si>
    <t>Westminster</t>
  </si>
  <si>
    <t>Global Enterprise Series Seating Low-Back Swivel/Tilt Chairs</t>
  </si>
  <si>
    <t>Array Memo Cubes</t>
  </si>
  <si>
    <t>Ampad #10 Peel &amp; Seel Holiday Envelopes</t>
  </si>
  <si>
    <t>Spiral Phone Message Books with Labels by Adams</t>
  </si>
  <si>
    <t>G.E. Longer-Life Indoor Recessed Floodlight Bulbs</t>
  </si>
  <si>
    <t>Xerox 1965</t>
  </si>
  <si>
    <t>Oswego</t>
  </si>
  <si>
    <t>Acco Hot Clips Clips to Go</t>
  </si>
  <si>
    <t>Wilson Jones Leather-Like Binders with DublLock Round Rings</t>
  </si>
  <si>
    <t>Advantus Panel Wall Acrylic Frame</t>
  </si>
  <si>
    <t>#6 3/4 Gummed Flap White Envelopes</t>
  </si>
  <si>
    <t>Ideal Clamps</t>
  </si>
  <si>
    <t>Memorex 25GB 6X Branded Blu-Ray Recordable Disc, 15/Pack</t>
  </si>
  <si>
    <t>Xerox 1924</t>
  </si>
  <si>
    <t>Santa Fe</t>
  </si>
  <si>
    <t>KeyTronic KT400U2 - Keyboard - Black</t>
  </si>
  <si>
    <t>Crayola Anti Dust Chalk, 12/Pack</t>
  </si>
  <si>
    <t>Avery 511</t>
  </si>
  <si>
    <t>Presstex Flexible Ring Binders</t>
  </si>
  <si>
    <t>Vtech AT&amp;T CL2940 Corded Speakerphone, Black</t>
  </si>
  <si>
    <t>Sauder Camden County Barrister Bookcase, Planked Cherry Finish</t>
  </si>
  <si>
    <t>Holyoke</t>
  </si>
  <si>
    <t>Bush Mission Pointe Library</t>
  </si>
  <si>
    <t>Space Solutions HD Industrial Steel Shelving.</t>
  </si>
  <si>
    <t>Message Book, Standard Line "While You Were Out", 5 1/2" X 4", 200 Sets/Book</t>
  </si>
  <si>
    <t>Xerox 208</t>
  </si>
  <si>
    <t>Convenience Packs of Business Envelopes</t>
  </si>
  <si>
    <t>Staple remover</t>
  </si>
  <si>
    <t>Acme Design Stainless Steel Bent Scissors</t>
  </si>
  <si>
    <t>Tuff Stuff Recycled Round Ring Binders</t>
  </si>
  <si>
    <t>Avery 494</t>
  </si>
  <si>
    <t>Xerox 206</t>
  </si>
  <si>
    <t>Newell 31</t>
  </si>
  <si>
    <t>C-Line Cubicle Keepers Polyproplyene Holder w/Velcro Back, 8-1/2x11, 25/Bx</t>
  </si>
  <si>
    <t>Newell 343</t>
  </si>
  <si>
    <t>Avery 493</t>
  </si>
  <si>
    <t>Eldon Expressions Mahogany Wood Desk Collection</t>
  </si>
  <si>
    <t>Avery 501</t>
  </si>
  <si>
    <t>Executive Impressions 12" Wall Clock</t>
  </si>
  <si>
    <t>Newell 35</t>
  </si>
  <si>
    <t>Tenex Personal Filing Tote With Secure Closure Lid, Black/Frost</t>
  </si>
  <si>
    <t>Imation 8gb Micro Traveldrive Usb 2.0 Flash Drive</t>
  </si>
  <si>
    <t>Anker 36W 4-Port USB Wall Charger Travel Power Adapter for iPhone 5s 5c 5</t>
  </si>
  <si>
    <t>Xerox 1950</t>
  </si>
  <si>
    <t>Avery 488</t>
  </si>
  <si>
    <t>Daytona Beach</t>
  </si>
  <si>
    <t>Recycled Interoffice Envelopes with Re-Use-A-Seal Closure, 10 x 13</t>
  </si>
  <si>
    <t>Acco 6 Outlet Guardian Standard Surge Suppressor</t>
  </si>
  <si>
    <t>Avery 496</t>
  </si>
  <si>
    <t>Pressboard Data Binders by Wilson Jones</t>
  </si>
  <si>
    <t>Cardinal Holdit Business Card Pockets</t>
  </si>
  <si>
    <t>Avery 514</t>
  </si>
  <si>
    <t>Wausau Papers Astrobrights Colored Envelopes</t>
  </si>
  <si>
    <t>1/4 Fold Party Design Invitations &amp; White Envelopes, 24 8-1/2" X 11" Cards, 25 Env./Pack</t>
  </si>
  <si>
    <t>Xerox 1927</t>
  </si>
  <si>
    <t>Pyle PRT45 Retro Home Telephone</t>
  </si>
  <si>
    <t>Bulldog Table or Wall-Mount Pencil Sharpener</t>
  </si>
  <si>
    <t>Wilson Jones Impact Binders</t>
  </si>
  <si>
    <t>Xerox 1896</t>
  </si>
  <si>
    <t>Hammermill Color Copier Paper (28Lb. and 96 Bright)</t>
  </si>
  <si>
    <t>Important Message Pads, 50 4-1/4 x 5-1/2 Forms per Pad</t>
  </si>
  <si>
    <t>Avery 492</t>
  </si>
  <si>
    <t>League City</t>
  </si>
  <si>
    <t>Fluorescent Highlighters by Dixon</t>
  </si>
  <si>
    <t>Lewiston</t>
  </si>
  <si>
    <t>Lenovo 17-Key USB Numeric Keypad</t>
  </si>
  <si>
    <t>Smead Alpha-Z Color-Coded Second Alphabetical Labels and Starter Set</t>
  </si>
  <si>
    <t>Xerox 218</t>
  </si>
  <si>
    <t>Newell 351</t>
  </si>
  <si>
    <t>Avery 520</t>
  </si>
  <si>
    <t>Telephone Message Books with Fax/Mobile Section, 4 1/4" x 6"</t>
  </si>
  <si>
    <t>Avery Hanging File Binders</t>
  </si>
  <si>
    <t>Fellowes Presentation Covers for Comb Binding Machines</t>
  </si>
  <si>
    <t>East Orange</t>
  </si>
  <si>
    <t>Xerox 215</t>
  </si>
  <si>
    <t>Eldon Expressions Punched Metal &amp; Wood Desk Accessories, Pewter &amp; Cherry</t>
  </si>
  <si>
    <t>Recycled Easel Ring Binders</t>
  </si>
  <si>
    <t>Logitech VX Revolution Cordless Laser Mouse for Notebooks (Black)</t>
  </si>
  <si>
    <t>EcoTones Memo Sheets</t>
  </si>
  <si>
    <t>Staple-on labels</t>
  </si>
  <si>
    <t>Ibico Plastic and Wire Spiral Binding Combs</t>
  </si>
  <si>
    <t>Perma STOR-ALL Hanging File Box, 13 1/8"W x 12 1/4"D x 10 1/2"H</t>
  </si>
  <si>
    <t>Akro-Mils 12-Gallon Tote</t>
  </si>
  <si>
    <t>Executive Impressions 13-1/2" Indoor/Outdoor Wall Clock</t>
  </si>
  <si>
    <t>Edmonton</t>
  </si>
  <si>
    <t>Hoover Replacement Belts For Soft Guard &amp; Commercial Ltweight Upright Vacs, 2/Pk</t>
  </si>
  <si>
    <t>Newell 311</t>
  </si>
  <si>
    <t>Acme Elite Stainless Steel Scissors</t>
  </si>
  <si>
    <t>2300 Heavy-Duty Transfer File Systems by Perma</t>
  </si>
  <si>
    <t>Microsoft Natural Keyboard Elite</t>
  </si>
  <si>
    <t>Bravo II Megaboss 12-Amp Hard Body Upright, Replacement Belts, 2 Belts per Pack</t>
  </si>
  <si>
    <t>Elmhurst</t>
  </si>
  <si>
    <t>Black Print Carbonless 8 1/2" x 8 1/4" Rapid Memo Book</t>
  </si>
  <si>
    <t>DAX Cubicle Frames - 8x10</t>
  </si>
  <si>
    <t>Sanford Colorific Colored Pencils, 12/Box</t>
  </si>
  <si>
    <t>Zebra Zazzle Fluorescent Highlighters</t>
  </si>
  <si>
    <t>Covington</t>
  </si>
  <si>
    <t>Eldon Expressions Punched Metal &amp; Wood Desk Accessories, Black &amp; Cherry</t>
  </si>
  <si>
    <t>Rock Hill</t>
  </si>
  <si>
    <t>Advantus Map Pennant Flags and Round Head Tacks</t>
  </si>
  <si>
    <t>Acme Value Line Scissors</t>
  </si>
  <si>
    <t>TOPS Voice Message Log Book, Flash Format</t>
  </si>
  <si>
    <t>Acme Titanium Bonded Scissors</t>
  </si>
  <si>
    <t>Sioux Falls</t>
  </si>
  <si>
    <t>Advantus Push Pins</t>
  </si>
  <si>
    <t>Stockwell Push Pins</t>
  </si>
  <si>
    <t>Grapevine</t>
  </si>
  <si>
    <t>Dixon Ticonderoga Erasable Colored Pencil Set, 12-Color</t>
  </si>
  <si>
    <t>Advantus T-Pin Paper Clips</t>
  </si>
  <si>
    <t>Advantus SlideClip Paper Clips</t>
  </si>
  <si>
    <t>Newell 328</t>
  </si>
  <si>
    <t>Xerox 199</t>
  </si>
  <si>
    <t>Acco PRESSTEX Data Binder with Storage Hooks, Light Blue, 9 1/2" X 11"</t>
  </si>
  <si>
    <t>Premium Writing Pencils, Soft, #2 by Central Association for the Blind</t>
  </si>
  <si>
    <t>ACCOHIDE Binder by Acco</t>
  </si>
  <si>
    <t>Boston 16701 Slimline Battery Pencil Sharpener</t>
  </si>
  <si>
    <t>Colored Envelopes</t>
  </si>
  <si>
    <t>Permanent Self-Adhesive File Folder Labels for Typewriters by Universal</t>
  </si>
  <si>
    <t>Flexible Leather- Look Classic Collection Ring Binder</t>
  </si>
  <si>
    <t>Newell 333</t>
  </si>
  <si>
    <t>Xerox 1953</t>
  </si>
  <si>
    <t>Prang Dustless Chalk Sticks</t>
  </si>
  <si>
    <t>While You Were Out Pads, 50 per Pad, 4 x 5 1/4, Green Cycle</t>
  </si>
  <si>
    <t>Avery 491</t>
  </si>
  <si>
    <t>GBC VeloBind Cover Sets</t>
  </si>
  <si>
    <t>Bakersfield</t>
  </si>
  <si>
    <t>Executive Impressions 8-1/2" Career Panel/Partition Cubicle Clock</t>
  </si>
  <si>
    <t>GBC Laser Imprintable Binding System Covers, Desert Sand</t>
  </si>
  <si>
    <t>Acco Pressboard Covers with Storage Hooks, 14 7/8" x 11", Light Blue</t>
  </si>
  <si>
    <t>Lawton</t>
  </si>
  <si>
    <t>Nontoxic Chalk</t>
  </si>
  <si>
    <t>Prestige Round Ring Binders</t>
  </si>
  <si>
    <t>Griffin GC36547 PowerJolt SE Lightning Charger</t>
  </si>
  <si>
    <t>Sanford Colorific Eraseable Coloring Pencils, 12 Count</t>
  </si>
  <si>
    <t>Samsung Replacement EH64AVFWE Premium Headset</t>
  </si>
  <si>
    <t>Newell 314</t>
  </si>
  <si>
    <t>Belkin 7 Outlet SurgeMaster Surge Protector with Phone Protection</t>
  </si>
  <si>
    <t>Barrel Sharpener</t>
  </si>
  <si>
    <t>Imation Swivel Flash Drive USB flash drive - 8 GB</t>
  </si>
  <si>
    <t>Bionaire 99.97% HEPA Air Cleaner</t>
  </si>
  <si>
    <t>iHome FM Clock Radio with Lightning Dock</t>
  </si>
  <si>
    <t>Xerox 1921</t>
  </si>
  <si>
    <t>PayAnywhere Card Reader</t>
  </si>
  <si>
    <t>Eldon Delta Triangular Chair Mat, 52" x 58", Clear</t>
  </si>
  <si>
    <t>Xerox 1972</t>
  </si>
  <si>
    <t>Avery Fluorescent Highlighter Four-Color Set</t>
  </si>
  <si>
    <t>Stackable Trays</t>
  </si>
  <si>
    <t>Eldon Image Series Black Desk Accessories</t>
  </si>
  <si>
    <t>Cincinnati</t>
  </si>
  <si>
    <t>Dixon My First Ticonderoga Pencil, #2</t>
  </si>
  <si>
    <t>#10 Gummed Flap White Envelopes, 100/Box</t>
  </si>
  <si>
    <t>Avery Binding System Hidden Tab Executive Style Index Sets</t>
  </si>
  <si>
    <t>3-ring staple pack</t>
  </si>
  <si>
    <t>Xerox 207</t>
  </si>
  <si>
    <t>Acco Perma 3000 Stacking Storage Drawers</t>
  </si>
  <si>
    <t>Xerox 1926</t>
  </si>
  <si>
    <t>Adams Write n' Stick Phone Message Book, 11" X 5 1/4", 200 Messages</t>
  </si>
  <si>
    <t>Xerox 1998</t>
  </si>
  <si>
    <t>Boston 16765 Mini Stand Up Battery Pencil Sharpener</t>
  </si>
  <si>
    <t>Woodstock</t>
  </si>
  <si>
    <t>Acco Translucent Poly Ring Binders</t>
  </si>
  <si>
    <t>Kingston Digital DataTraveler 64GB USB 2.0</t>
  </si>
  <si>
    <t>Verbatim Slim CD and DVD Storage Cases, 50/Pack</t>
  </si>
  <si>
    <t>Belkin QODE FastFit Bluetooth Keyboard</t>
  </si>
  <si>
    <t>Document Clip Frames</t>
  </si>
  <si>
    <t>Cisco SPA 501G IP Phone</t>
  </si>
  <si>
    <t>Hunt BOSTON Vista Battery-Operated Pencil Sharpener, Black</t>
  </si>
  <si>
    <t>First Data FD10 PIN Pad</t>
  </si>
  <si>
    <t>Newell 350</t>
  </si>
  <si>
    <t>Ampad Poly Cover Wirebound Steno Book, 6" x 9" Assorted Colors, Gregg Ruled</t>
  </si>
  <si>
    <t>Rogers Handheld Barrel Pencil Sharpener</t>
  </si>
  <si>
    <t>Black Avery Memo-Size 3-Ring Binder, 5 1/2" x 8 1/2"</t>
  </si>
  <si>
    <t>Xerox 1958</t>
  </si>
  <si>
    <t>Wilson Jones DublLock D-Ring Binders</t>
  </si>
  <si>
    <t>Newell 332</t>
  </si>
  <si>
    <t>Xerox 1980</t>
  </si>
  <si>
    <t>Dax Clear Box Frame</t>
  </si>
  <si>
    <t>Barricks Non-Folding Utility Table with Steel Legs, Laminate Tops</t>
  </si>
  <si>
    <t>Avery 498</t>
  </si>
  <si>
    <t>Binder Clips by OIC</t>
  </si>
  <si>
    <t>Wilson Jones data.warehouse D-Ring Binders with DublLock</t>
  </si>
  <si>
    <t>Regeneration Desk Collection</t>
  </si>
  <si>
    <t>C-Line Peel &amp; Stick Add-On Filing Pockets, 8-3/4 x 5-1/8, 10/Pack</t>
  </si>
  <si>
    <t>Hammermill CopyPlus Copy Paper (20Lb. and 84 Bright)</t>
  </si>
  <si>
    <t>Sterling Heights</t>
  </si>
  <si>
    <t>Durable Pressboard Binders</t>
  </si>
  <si>
    <t>Ibico Presentation Index for Binding Systems</t>
  </si>
  <si>
    <t>Global Chrome Stack Chair</t>
  </si>
  <si>
    <t>Atlantic Metals Mobile 5-Shelf Bookcases, Custom Colors</t>
  </si>
  <si>
    <t>Letter or Legal Size Expandable Poly String Tie Envelopes</t>
  </si>
  <si>
    <t>JBL Micro Wireless Portable Bluetooth Speaker</t>
  </si>
  <si>
    <t>SanDisk Cruzer 16 GB USB Flash Drive</t>
  </si>
  <si>
    <t>SAFCO Optional Arm Kit for Workspace Cribbage Stacking Chair</t>
  </si>
  <si>
    <t>Avery Hole Reinforcements</t>
  </si>
  <si>
    <t>Avery Poly Binder Pockets</t>
  </si>
  <si>
    <t>Xerox 1983</t>
  </si>
  <si>
    <t>Newell 331</t>
  </si>
  <si>
    <t>Sanford Colorific Scented Colored Pencils, 12/Pack</t>
  </si>
  <si>
    <t>Master Caster Door Stop, Large Brown</t>
  </si>
  <si>
    <t>GE General Purpose, Extra Long Life, Showcase &amp; Floodlight Incandescent Bulbs</t>
  </si>
  <si>
    <t>Newell 318</t>
  </si>
  <si>
    <t>Newell 321</t>
  </si>
  <si>
    <t>GBC Durable Plastic Covers</t>
  </si>
  <si>
    <t>Wirebound Message Forms, Four 2 3/4 x 5 Forms per Page, Pink Paper</t>
  </si>
  <si>
    <t>Safco Wire Cube Shelving System, For Use as 4 or 5 14" Cubes, Black</t>
  </si>
  <si>
    <t>Master Caster Door Stop, Gray</t>
  </si>
  <si>
    <t>American Pencil</t>
  </si>
  <si>
    <t>Faber Castell Col-Erase Pencils</t>
  </si>
  <si>
    <t>Anker 24W Portable Micro USB Car Charger</t>
  </si>
  <si>
    <t>Xerox 190</t>
  </si>
  <si>
    <t>Avery 509</t>
  </si>
  <si>
    <t>RCA ViSYS 25423RE1 Corded phone</t>
  </si>
  <si>
    <t>Avery Durable Binders</t>
  </si>
  <si>
    <t>Newell 336</t>
  </si>
  <si>
    <t>Recycled Pressboard Report Cover with Reinforced Top Hinge</t>
  </si>
  <si>
    <t>Eldon Pizzaz Desk Accessories</t>
  </si>
  <si>
    <t>Xerox 1990</t>
  </si>
  <si>
    <t>GBC Clear Cover, 8-1/2 x 11, unpunched, 25 covers per pack</t>
  </si>
  <si>
    <t>Avery Durable Slant Ring Binders, No Labels</t>
  </si>
  <si>
    <t>Sanford Uni-Blazer View Highlighters, Chisel Tip, Yellow</t>
  </si>
  <si>
    <t>Binney &amp; Smith inkTank Desk Highlighter, Chisel Tip, Yellow, 12/Box</t>
  </si>
  <si>
    <t>Fiskars Spring-Action Scissors</t>
  </si>
  <si>
    <t>Southworth 25% Cotton Granite Paper &amp; Envelopes</t>
  </si>
  <si>
    <t>Acco Pressboard Covers with Storage Hooks, 14 7/8" x 11", Dark Blue</t>
  </si>
  <si>
    <t>Newell 317</t>
  </si>
  <si>
    <t>Hempstead</t>
  </si>
  <si>
    <t>Boston 16750 Black Compact Battery Pencil Sharpener</t>
  </si>
  <si>
    <t>Eldon Regeneration Recycled Desk Accessories, Black</t>
  </si>
  <si>
    <t>Eldon 300 Class Desk Accessories, Black</t>
  </si>
  <si>
    <t>SKILCRAFT Telephone Shoulder Rest, 2" x 6.5" x 2.5", Black</t>
  </si>
  <si>
    <t>Belkin Grip Candy Sheer Case / Cover for iPhone 5 and 5S</t>
  </si>
  <si>
    <t>Wilson Jones International Size A4 Ring Binders</t>
  </si>
  <si>
    <t>Eureka Sanitaire  Multi-Pro Heavy-Duty Upright, Disposable Bags</t>
  </si>
  <si>
    <t>Xerox 1976</t>
  </si>
  <si>
    <t>Cardinal Poly Pocket Divider Pockets for Ring Binders</t>
  </si>
  <si>
    <t>Blackstonian Pencils</t>
  </si>
  <si>
    <t>Avery Durable Slant Ring Binders With Label Holder</t>
  </si>
  <si>
    <t>Acme Stainless Steel Office Snips</t>
  </si>
  <si>
    <t>Avery Round Ring Poly Binders</t>
  </si>
  <si>
    <t>Rediform Voice Mail Log Books</t>
  </si>
  <si>
    <t>Hon Every-Day Chair Series Swivel Task Chairs</t>
  </si>
  <si>
    <t>Westfield</t>
  </si>
  <si>
    <t>Decoflex Hanging Personal Folder File</t>
  </si>
  <si>
    <t>NETGEAR RangeMax WNR1000 Wireless Router</t>
  </si>
  <si>
    <t>Newell 32</t>
  </si>
  <si>
    <t>Revere</t>
  </si>
  <si>
    <t>Zipper Ring Binder Pockets</t>
  </si>
  <si>
    <t>Verbatim 25 GB 6x Blu-ray Single Layer Recordable Disc, 1/Pack</t>
  </si>
  <si>
    <t>Storex DuraTech Recycled Plastic Frosted Binders</t>
  </si>
  <si>
    <t>Disposable Triple-Filter Dust Bags</t>
  </si>
  <si>
    <t>Colorific Watercolor Pencils</t>
  </si>
  <si>
    <t>Ampad Evidence Wirebond Steno Books, 6" x 9"</t>
  </si>
  <si>
    <t>Avery 497</t>
  </si>
  <si>
    <t>Square Credit Card Reader</t>
  </si>
  <si>
    <t>Acme Kleen Earth Office Shears</t>
  </si>
  <si>
    <t>Newell 330</t>
  </si>
  <si>
    <t>Jiffy Padded Mailers with Self-Seal Closure</t>
  </si>
  <si>
    <t>Newell 327</t>
  </si>
  <si>
    <t>Binney &amp; Smith inkTank Erasable Pocket Highlighter, Chisel Tip, Yellow</t>
  </si>
  <si>
    <t>Turquoise Lead Holder with Pocket Clip</t>
  </si>
  <si>
    <t>"While you Were Out" Message Book, One Form per Page</t>
  </si>
  <si>
    <t>Jabra SPEAK 410 Multidevice Speakerphone</t>
  </si>
  <si>
    <t>Holmes Visible Mist Ultrasonic Humidifier with 2.3-Gallon Output per Day, Replacement Filter</t>
  </si>
  <si>
    <t>Acme Design Line 8" Stainless Steel Bent Scissors w/Champagne Handles, 3-1/8" Cut</t>
  </si>
  <si>
    <t>3M Organizer Strips</t>
  </si>
  <si>
    <t>Eldon Expressions Wood Desk Accessories, Oak</t>
  </si>
  <si>
    <t>Lehi</t>
  </si>
  <si>
    <t>SmartStand Mobile Device Holder, Assorted Colors</t>
  </si>
  <si>
    <t>Newell 349</t>
  </si>
  <si>
    <t>Avery Binder Labels</t>
  </si>
  <si>
    <t>Economy Binders</t>
  </si>
  <si>
    <t>Rediform S.O.S. Phone Message Books</t>
  </si>
  <si>
    <t>Newell 348</t>
  </si>
  <si>
    <t>Avery Hi-Liter GlideStik Fluorescent Highlighter, Yellow Ink</t>
  </si>
  <si>
    <t>Sanford Pocket Accent Highlighters</t>
  </si>
  <si>
    <t>Micro Innovations Wireless Classic Keyboard with Mouse</t>
  </si>
  <si>
    <t>Ultra Commercial Grade Dual Valve Door Closer</t>
  </si>
  <si>
    <t>Avery 05222 Permanent Self-Adhesive File Folder Labels for Typewriters, on Rolls, White, 250/Roll</t>
  </si>
  <si>
    <t>Newell 320</t>
  </si>
  <si>
    <t>Stacking Trays by OIC</t>
  </si>
  <si>
    <t>Eldon Spacemaker Box, Quick-Snap Lid, Clear</t>
  </si>
  <si>
    <t>Spokane</t>
  </si>
  <si>
    <t>Dixon Ticonderoga Pencils</t>
  </si>
  <si>
    <t>Xerox 1985</t>
  </si>
  <si>
    <t>Heavy-Duty E-Z-D Binders</t>
  </si>
  <si>
    <t>Roseville</t>
  </si>
  <si>
    <t>Economy #2 Pencils</t>
  </si>
  <si>
    <t>Self-Adhesive Address Labels for Typewriters with Dispenser Box</t>
  </si>
  <si>
    <t>BIC Brite Liner Grip Highlighters</t>
  </si>
  <si>
    <t>Assorted Color Push Pins</t>
  </si>
  <si>
    <t>Imation USB 2.0 Swivel Flash Drive USB flash drive - 4 GB - Pink</t>
  </si>
  <si>
    <t>Eldon Regeneration Recycled Desk Accessories, Smoke</t>
  </si>
  <si>
    <t>Tenex Chairmats For Use With Carpeted Floors</t>
  </si>
  <si>
    <t>Imation 8GB Mini TravelDrive USB 2.0 Flash Drive</t>
  </si>
  <si>
    <t>Acco Recycled 2" Capacity Laser Printer Hanging Data Binders</t>
  </si>
  <si>
    <t>Universal Recycled Hanging Pressboard Report Binders, Letter Size</t>
  </si>
  <si>
    <t>Rancho Cucamonga</t>
  </si>
  <si>
    <t>Avery 507</t>
  </si>
  <si>
    <t>DIXON Oriole Pencils</t>
  </si>
  <si>
    <t>Newell 346</t>
  </si>
  <si>
    <t>Loose Memo Sheets</t>
  </si>
  <si>
    <t>Newell 344</t>
  </si>
  <si>
    <t>Imation 30456 USB Flash Drive 8GB</t>
  </si>
  <si>
    <t>GBC Standard Therm-A-Bind Covers</t>
  </si>
  <si>
    <t>Newell 33</t>
  </si>
  <si>
    <t>Unpadded Memo Slips</t>
  </si>
  <si>
    <t>Sanford EarthWrite Recycled Pencils, Medium Soft, #2</t>
  </si>
  <si>
    <t>Acco Hanging Data Binders</t>
  </si>
  <si>
    <t>Newell 316</t>
  </si>
  <si>
    <t>OIC #2 Pencils, Medium Soft</t>
  </si>
  <si>
    <t>Avery 510</t>
  </si>
  <si>
    <t>Newell 326</t>
  </si>
  <si>
    <t>Binder Posts</t>
  </si>
  <si>
    <t>Colored Push Pins</t>
  </si>
  <si>
    <t>Newell 340</t>
  </si>
  <si>
    <t>Johnson City</t>
  </si>
  <si>
    <t>Newell 310</t>
  </si>
  <si>
    <t>Col-Erase Pencils with Erasers</t>
  </si>
  <si>
    <t>Acme Kleencut Forged Steel Scissors</t>
  </si>
  <si>
    <t>Acco Four Pocket Poly Ring Binder with Label Holder, Smoke, 1"</t>
  </si>
  <si>
    <t>Lebanon</t>
  </si>
  <si>
    <t>Portfile Personal File Boxes</t>
  </si>
  <si>
    <t>Maxell 4.7GB DVD-R 5/Pack</t>
  </si>
  <si>
    <t>Color-Coded Legal Exhibit Labels</t>
  </si>
  <si>
    <t>12-1/2 Diameter Round Wall Clock</t>
  </si>
  <si>
    <t>Pressboard Data Binder, Crimson, 12" X 8 1/2"</t>
  </si>
  <si>
    <t>OIC Binder Clips, Mini, 1/4" Capacity, Black</t>
  </si>
  <si>
    <t>Avery 479</t>
  </si>
  <si>
    <t>Charlottesville</t>
  </si>
  <si>
    <t>Tensor Brushed Steel Torchiere Floor Lamp</t>
  </si>
  <si>
    <t>Eldon Expressions Desk Accessory, Wood Pencil Holder, Oak</t>
  </si>
  <si>
    <t>Binney &amp; Smith Crayola Metallic Crayons, 16-Color Pack</t>
  </si>
  <si>
    <t>Newell 322</t>
  </si>
  <si>
    <t>Stride Job 150 Highlighters, Chisel Tip, Assorted Colors</t>
  </si>
  <si>
    <t>Xerox 1984</t>
  </si>
  <si>
    <t>Newell 338</t>
  </si>
  <si>
    <t>Evanston</t>
  </si>
  <si>
    <t>Belkin iPhone and iPad Lightning Cable</t>
  </si>
  <si>
    <t>Irving</t>
  </si>
  <si>
    <t>Avery 502</t>
  </si>
  <si>
    <t>Newell 339</t>
  </si>
  <si>
    <t>Lunatik TT5L-002 Taktik Strike Impact Protection System for iPhone 5</t>
  </si>
  <si>
    <t>Quartet Alpha White Chalk, 12/Pack</t>
  </si>
  <si>
    <t>SpineVue Locking Slant-D Ring Binders by Cardinal</t>
  </si>
  <si>
    <t>Eldon File Chest Portable File</t>
  </si>
  <si>
    <t>Acco Perma 2700 Stacking Storage Drawers</t>
  </si>
  <si>
    <t>Translucent Push Pins by OIC</t>
  </si>
  <si>
    <t>Binney &amp; Smith inkTank Erasable Desk Highlighter, Chisel Tip, Yellow, 12/Box</t>
  </si>
  <si>
    <t>Billings</t>
  </si>
  <si>
    <t>SlimView Poly Binder, 3/8"</t>
  </si>
  <si>
    <t>Xerox 1969</t>
  </si>
  <si>
    <t>Universal Ultra Bright White Copier/Laser Paper, 8 1/2" x 11", Ream</t>
  </si>
  <si>
    <t>Wilson Jones Easy Flow II Sheet Lifters</t>
  </si>
  <si>
    <t>SanDisk Cruzer 4 GB USB Flash Drive</t>
  </si>
  <si>
    <t>Wilson Jones Four-Pocket Poly Binders</t>
  </si>
  <si>
    <t>Avery 482</t>
  </si>
  <si>
    <t>Kingston Digital DataTraveler 32GB USB 2.0</t>
  </si>
  <si>
    <t>Cardinal Slant-D Ring Binder, Heavy Gauge Vinyl</t>
  </si>
  <si>
    <t>Carrollton</t>
  </si>
  <si>
    <t>Xerox 1901</t>
  </si>
  <si>
    <t>Edmonds</t>
  </si>
  <si>
    <t>Sony 16GB Class 10 Micro SDHC R40 Memory Card</t>
  </si>
  <si>
    <t>OIC Thumb-Tacks</t>
  </si>
  <si>
    <t>Belkin Standard 104 key USB Keyboard</t>
  </si>
  <si>
    <t>Wilson Jones Suede Grain Vinyl Binders</t>
  </si>
  <si>
    <t>Wirebound Voice Message Log Book</t>
  </si>
  <si>
    <t>Dixon Ticonderoga Maple Cedar Pencil, #2</t>
  </si>
  <si>
    <t>Newell 329</t>
  </si>
  <si>
    <t>Contemporary Wood/Metal Frame</t>
  </si>
  <si>
    <t>Rogers Profile Extra Capacity Storage Tub</t>
  </si>
  <si>
    <t>Maxell 4.7GB DVD+R 5/Pack</t>
  </si>
  <si>
    <t>Boston 1900 Electric Pencil Sharpener</t>
  </si>
  <si>
    <t>Newport News</t>
  </si>
  <si>
    <t>SANFORD Liquid Accent Tank-Style Highlighters</t>
  </si>
  <si>
    <t>Cardinal HOLDit! Binder Insert Strips,Extra Strips</t>
  </si>
  <si>
    <t>Xerox 1922</t>
  </si>
  <si>
    <t>Peel &amp; Stick Add-On Corner Pockets</t>
  </si>
  <si>
    <t>Newell 313</t>
  </si>
  <si>
    <t>Cush Cases Heavy Duty Rugged Cover Case for Samsung Galaxy S5 - Purple</t>
  </si>
  <si>
    <t>Burlington</t>
  </si>
  <si>
    <t>Pencil and Crayon Sharpener</t>
  </si>
  <si>
    <t>Newell 323</t>
  </si>
  <si>
    <t>OtterBox Defender Series Case - iPhone 5c</t>
  </si>
  <si>
    <t>Maxell CD-R Discs</t>
  </si>
  <si>
    <t>Eldon Jumbo ProFile Portable File Boxes Graphite/Black</t>
  </si>
  <si>
    <t>Newell 3-Hole Punched Plastic Slotted Magazine Holders for Binders</t>
  </si>
  <si>
    <t>San Marcos</t>
  </si>
  <si>
    <t>Contemporary Borderless Frame</t>
  </si>
  <si>
    <t>Newell 307</t>
  </si>
  <si>
    <t>Memorex Mini Travel Drive 4 GB USB 2.0 Flash Drive</t>
  </si>
  <si>
    <t>Ibico Recycled Grain-Textured Covers</t>
  </si>
  <si>
    <t>Stockwell Gold Paper Clips</t>
  </si>
  <si>
    <t>Avery 484</t>
  </si>
  <si>
    <t>GBC Instant Report Kit</t>
  </si>
  <si>
    <t>Avery Hi-Liter Pen Style Six-Color Fluorescent Set</t>
  </si>
  <si>
    <t>GE General Use Halogen Bulbs, 100 Watts, 1 Bulb per Pack</t>
  </si>
  <si>
    <t>Xerox 20</t>
  </si>
  <si>
    <t>Avery Hi-Liter Comfort Grip Fluorescent Highlighter, Yellow Ink</t>
  </si>
  <si>
    <t>12 Colored Short Pencils</t>
  </si>
  <si>
    <t>Newell 342</t>
  </si>
  <si>
    <t>Manchester</t>
  </si>
  <si>
    <t>Avery 5</t>
  </si>
  <si>
    <t>Belkin 7-Outlet SurgeMaster Home Series</t>
  </si>
  <si>
    <t>4009 Highlighters</t>
  </si>
  <si>
    <t>Xerox 1989</t>
  </si>
  <si>
    <t>Plastic Stacking Crates &amp; Casters</t>
  </si>
  <si>
    <t>Woodgrain Magazine Files by Perma</t>
  </si>
  <si>
    <t>RCA H5401RE1 DECT 6.0 4-Line Cordless Handset With Caller ID/Call Waiting</t>
  </si>
  <si>
    <t>Grip Seal Envelopes</t>
  </si>
  <si>
    <t>Self-Adhesive Ring Binder Labels</t>
  </si>
  <si>
    <t>Design Ebony Sketching Pencil</t>
  </si>
  <si>
    <t>Sannysis Cute Owl Design Soft Skin Case Cover for Samsung Galaxy S4</t>
  </si>
  <si>
    <t>Kleencut Forged Office Shears by Acme United Corporation</t>
  </si>
  <si>
    <t>Newell 308</t>
  </si>
  <si>
    <t>Tensor "Hersey Kiss" Styled Floor Lamp</t>
  </si>
  <si>
    <t>Imation Clip USB flash drive - 8 GB</t>
  </si>
  <si>
    <t>Wilson Jones Hanging Recycled Pressboard Data Binders</t>
  </si>
  <si>
    <t>Commercial WindTunnel Clean Air Upright Vacuum, Replacement Belts, Filtration Bags</t>
  </si>
  <si>
    <t>Hoover Portapower Portable Vacuum</t>
  </si>
  <si>
    <t>Sanitaire Vibra Groomer IR Commercial Upright Vacuum, Replacement Belts</t>
  </si>
  <si>
    <t>KeyTronic KT800P2 - Keyboard - Black</t>
  </si>
  <si>
    <t>Newell 337</t>
  </si>
  <si>
    <t>Acco Expandable Hanging Binders</t>
  </si>
  <si>
    <t>Rosewill 107 Normal Keys USB Wired Standard Keyboard</t>
  </si>
  <si>
    <t>Nu-Dell EZ-Mount Plastic Wall Frames</t>
  </si>
  <si>
    <t>West Jordan</t>
  </si>
  <si>
    <t>Alliance Rubber Bands</t>
  </si>
  <si>
    <t>Hoover Replacement Belt for Commercial Guardsman Heavy-Duty Upright Vacuum</t>
  </si>
  <si>
    <t>Sony 8GB Class 10 Micro SDHC R40 Memory Card</t>
  </si>
  <si>
    <t>Letter Slitter</t>
  </si>
  <si>
    <t>Bagged Rubber Bands</t>
  </si>
  <si>
    <t>Premier Electric Letter Opener</t>
  </si>
  <si>
    <t>HON 5400 Series Task Chairs for Big and Tall</t>
  </si>
  <si>
    <t>Global Super Steno Chair</t>
  </si>
  <si>
    <t>Belkin OmniView SE Rackmount Kit</t>
  </si>
  <si>
    <t>Pueblo</t>
  </si>
  <si>
    <t>Avery Trapezoid Extra Heavy Duty 4" Binders</t>
  </si>
  <si>
    <t>Alliance Big Bands Rubber Bands, 12/Pack</t>
  </si>
  <si>
    <t>Acco PRESSTEX Data Binder with Storage Hooks, Dark Blue, 9 1/2" X 11"</t>
  </si>
  <si>
    <t>Rubber Band Ball</t>
  </si>
  <si>
    <t>Brites Rubber Bands, 1 1/2 oz. Box</t>
  </si>
  <si>
    <t>Eldon Gobal File Keepers</t>
  </si>
  <si>
    <t>Avery Framed View Binder, EZD Ring (Locking), Navy, 1 1/2"</t>
  </si>
  <si>
    <t>Round Ring Binders</t>
  </si>
  <si>
    <t>Executive Impressions 16-1/2" Circular Wall Clock</t>
  </si>
  <si>
    <t>Frisco</t>
  </si>
  <si>
    <t>SanDisk Cruzer 8 GB USB Flash Drive</t>
  </si>
  <si>
    <t>North Miami</t>
  </si>
  <si>
    <t>Acme Serrated Blade Letter Opener</t>
  </si>
  <si>
    <t>Murfreesboro</t>
  </si>
  <si>
    <t>Executive Impressions 14" Contract Wall Clock with Quartz Movement</t>
  </si>
  <si>
    <t>Chattanooga</t>
  </si>
  <si>
    <t>Penpower WorldCard Pro Card Scanner</t>
  </si>
  <si>
    <t>Angle-D Ring Binders</t>
  </si>
  <si>
    <t>Storex Flexible Poly Binders with Double Pockets</t>
  </si>
  <si>
    <t>Sandy Springs</t>
  </si>
  <si>
    <t>Kingston Digital DataTraveler 8GB USB 2.0</t>
  </si>
  <si>
    <t>Computer Printout Index Tabs</t>
  </si>
  <si>
    <t>PNY Rapid USB Car Charger - Black</t>
  </si>
  <si>
    <t>Avery Self-Adhesive Photo Pockets for Polaroid Photos</t>
  </si>
  <si>
    <t>GBC Twin Loop Wire Binding Elements, 9/16" Spine, Black</t>
  </si>
  <si>
    <t>Hoover Commercial Lightweight Upright Vacuum</t>
  </si>
  <si>
    <t>Super Bands, 12/Pack</t>
  </si>
  <si>
    <t>Stacking Tray, Side-Loading, Legal, Smoke</t>
  </si>
  <si>
    <t>GBC Standard Plastic Binding Systems Combs</t>
  </si>
  <si>
    <t>Fellowes Twister Kit, Gray/Clear, 3/pkg</t>
  </si>
  <si>
    <t>Carina Double Wide Media Storage Towers in Natural &amp; Black</t>
  </si>
  <si>
    <t>Plymouth Boxed Rubber Bands by Plymouth</t>
  </si>
  <si>
    <t>Acme Rosewood Handle Letter Opener</t>
  </si>
  <si>
    <t>Acco 6 Outlet Guardian Basic Surge Suppressor</t>
  </si>
  <si>
    <t>Sterling Rubber Bands by Alliance</t>
  </si>
  <si>
    <t>Mead 1st Gear 2" Zipper Binder, Asst. Colors</t>
  </si>
  <si>
    <t>Serrated Blade or Curved Handle Hand Letter Openers</t>
  </si>
  <si>
    <t>Fellowes Black Plastic Comb Bindings</t>
  </si>
  <si>
    <t>Eureka Disposable Bags for Sanitaire Vibra Groomer I Upright Vac</t>
  </si>
  <si>
    <t>Insertable Tab Indexes For Data Binders</t>
  </si>
  <si>
    <t>Eldon 100 Class Desk Accessories</t>
  </si>
  <si>
    <t>Rogers Jumbo File, Granite</t>
  </si>
  <si>
    <t>Acco Suede Grain Vinyl Round Ring Binder</t>
  </si>
  <si>
    <t>Avery Triangle Shaped Sheet Lifters, Black, 2/Pack</t>
  </si>
  <si>
    <t>UniKeep View Case Binders</t>
  </si>
  <si>
    <t>Revere Boxed Rubber Bands by Revere</t>
  </si>
  <si>
    <t>Acco Economy Flexible Poly Round Ring Binder</t>
  </si>
  <si>
    <t>Telescoping Adjustable Floor Lamp</t>
  </si>
  <si>
    <t>Tennsco Regal Shelving Units</t>
  </si>
  <si>
    <t>Sterilite Show Offs Storage Containers</t>
  </si>
  <si>
    <t>Plantronics MX500i Earset</t>
  </si>
  <si>
    <t>Akro Stacking Bins</t>
  </si>
  <si>
    <t>Avery Hidden Tab Dividers for Binding Systems</t>
  </si>
  <si>
    <t>Acco Smartsocket Color-Coded Six-Outlet AC Adapter Model Surge Protectors</t>
  </si>
  <si>
    <t>Safco Commercial Shelving</t>
  </si>
  <si>
    <t>Eldon Expressions Desk Accessory, Wood Photo Frame, Mahogany</t>
  </si>
  <si>
    <t>Eldon Shelf Savers Cubes and Bins</t>
  </si>
  <si>
    <t>Acco Side-Punched Conventional Columnar Pads</t>
  </si>
  <si>
    <t>Newell 335</t>
  </si>
  <si>
    <t>Wilson Jones 1" Hanging DublLock Ring Binders</t>
  </si>
  <si>
    <t>Sauder Facets Collection Library, Sky Alder Finish</t>
  </si>
  <si>
    <t>Avery 517</t>
  </si>
  <si>
    <t>GBC Velobind Prepunched Cover Sets, Regency Series</t>
  </si>
  <si>
    <t>Hoover Commercial Lightweight Upright Vacuum with E-Z Empty Dirt Cup</t>
  </si>
  <si>
    <t>Safco Value Mate Series Steel Bookcases, Baked Enamel Finish on Steel, Gray</t>
  </si>
  <si>
    <t>Shocksock Galaxy S4 Armband</t>
  </si>
  <si>
    <t>Pressboard Hanging Data Binders for Unburst Sheets</t>
  </si>
  <si>
    <t>Alliance Super-Size Bands, Assorted Sizes</t>
  </si>
  <si>
    <t>Hoover Commercial Soft Guard Upright Vacuum And Disposable Filtration Bags</t>
  </si>
  <si>
    <t>Avaya 5410 Digital phone</t>
  </si>
  <si>
    <t>Garland</t>
  </si>
  <si>
    <t>Dana Swing-Arm Lamps</t>
  </si>
  <si>
    <t>GBC Personal VeloBind Strips</t>
  </si>
  <si>
    <t>Pressboard Covers with Storage Hooks, 9 1/2" x 11", Light Blue</t>
  </si>
  <si>
    <t>Gear Head AU3700S Headset</t>
  </si>
  <si>
    <t>iOttie HLCRIO102 Car Mount</t>
  </si>
  <si>
    <t>Case Logic 2.4GHz Wireless Keyboard</t>
  </si>
  <si>
    <t>Lesro Sheffield Collection Coffee Table, End Table, Center Table, Corner Table</t>
  </si>
  <si>
    <t>O'Sullivan 5-Shelf Heavy-Duty Bookcases</t>
  </si>
  <si>
    <t>GBC Instant Index System for Binding Systems</t>
  </si>
  <si>
    <t>Cardinal Hold-It CD Pocket</t>
  </si>
  <si>
    <t>Encinitas</t>
  </si>
  <si>
    <t>Bush Saratoga Collection 5-Shelf Bookcase, Hanover Cherry, *Special Order</t>
  </si>
  <si>
    <t>Fellowes Bankers Box Stor/Drawer Steel Plus</t>
  </si>
  <si>
    <t>Martin-Yale Premier Letter Opener</t>
  </si>
  <si>
    <t>XtraLife ClearVue Slant-D Ring Binders by Cardinal</t>
  </si>
  <si>
    <t>Motorola L804</t>
  </si>
  <si>
    <t>Acco Pressboard Covers with Storage Hooks, 14 7/8" x 11", Executive Red</t>
  </si>
  <si>
    <t>Avery 3 1/2" Diskette Storage Pages, 10/Pack</t>
  </si>
  <si>
    <t>Pocatello</t>
  </si>
  <si>
    <t>Dexim XPower Skin Super-Thin Power Case for iPhone 5 - Black</t>
  </si>
  <si>
    <t>Avery Durable Poly Binders</t>
  </si>
  <si>
    <t>ARKON Windshield Dashboard Air Vent Car Mount Holder</t>
  </si>
  <si>
    <t>Avery Reinforcements for Hole-Punch Pages</t>
  </si>
  <si>
    <t>Electrix Incandescent Magnifying Lamp, Black</t>
  </si>
  <si>
    <t>Tripp Lite Isotel 8 Ultra 8 Outlet Metal Surge</t>
  </si>
  <si>
    <t>Anderson Hickey Conga Table Tops &amp; Accessories</t>
  </si>
  <si>
    <t>Speck Products Candyshell Flip Case</t>
  </si>
  <si>
    <t>Fellowes Neat Ideas Storage Cubes</t>
  </si>
  <si>
    <t>GBC Wire Binding Strips</t>
  </si>
  <si>
    <t>Large Capacity Hanging Post Binders</t>
  </si>
  <si>
    <t>Logitech Keyboard K120</t>
  </si>
  <si>
    <t>Wilson Jones Custom Binder Spines &amp; Labels</t>
  </si>
  <si>
    <t>Accohide Poly Flexible Ring Binders</t>
  </si>
  <si>
    <t>Port Saint Lucie</t>
  </si>
  <si>
    <t>Bush Westfield Collection Bookcases, Medium Cherry Finish</t>
  </si>
  <si>
    <t>3M Replacement Filter for Office Air Cleaner for 20' x 33' Room</t>
  </si>
  <si>
    <t>Space Solutions Industrial Galvanized Steel Shelving.</t>
  </si>
  <si>
    <t>Texas Instrument TI-15 Fraction Calculator</t>
  </si>
  <si>
    <t>Cyber Acoustics AC-202b Speech Recognition Stereo Headset</t>
  </si>
  <si>
    <t>Global Armless Task Chair, Royal Blue</t>
  </si>
  <si>
    <t>Plantronics Single Ear Headset</t>
  </si>
  <si>
    <t>Stiletto Hand Letter Openers</t>
  </si>
  <si>
    <t>Panasonic KX MC6040 Color Laser Multifunction Printer</t>
  </si>
  <si>
    <t>Avery Durable Slant Ring Binders</t>
  </si>
  <si>
    <t>GBC VeloBinder Strips</t>
  </si>
  <si>
    <t>Anker Astro 15000mAh USB Portable Charger</t>
  </si>
  <si>
    <t>SAFCO Commercial Wire Shelving, 72h</t>
  </si>
  <si>
    <t>Tennsco Lockers, Gray</t>
  </si>
  <si>
    <t>Hon Metal Bookcases, Black</t>
  </si>
  <si>
    <t>GBC Standard Recycled Report Covers, Clear Plastic Sheets</t>
  </si>
  <si>
    <t>Fellowes Bankers Box Recycled Super Stor/Drawer</t>
  </si>
  <si>
    <t>Macally Suction Cup Mount</t>
  </si>
  <si>
    <t>Samsung Convoy 3</t>
  </si>
  <si>
    <t>Anker Astro Mini 3000mAh Ultra-Compact Portable Charger</t>
  </si>
  <si>
    <t>Avondale</t>
  </si>
  <si>
    <t>Memorex 25GB 6X Branded Blu-Ray Recordable Disc, 30/Pack</t>
  </si>
  <si>
    <t>Novimex Turbo Task Chair</t>
  </si>
  <si>
    <t>Rogers Deluxe File Chest</t>
  </si>
  <si>
    <t>Hon Comfortask Task/Swivel Chairs</t>
  </si>
  <si>
    <t>Tennsco Stur-D-Stor Boltless Shelving, 5 Shelves, 24" Deep, Sand</t>
  </si>
  <si>
    <t>Kensington 6 Outlet SmartSocket Surge Protector</t>
  </si>
  <si>
    <t>Mediabridge Sport Armband iPhone 5s</t>
  </si>
  <si>
    <t>Bevis Round Conference Room Tables and Bases</t>
  </si>
  <si>
    <t>Insertable Tab Post Binder Dividers</t>
  </si>
  <si>
    <t>Bethlehem</t>
  </si>
  <si>
    <t>36X48 HARDFLOOR CHAIRMAT</t>
  </si>
  <si>
    <t>Tenex "The Solids" Textured Chair Mats</t>
  </si>
  <si>
    <t>Office Star - Ergonomically Designed Knee Chair</t>
  </si>
  <si>
    <t>Burbank</t>
  </si>
  <si>
    <t>Eldon Cleatmat Chair Mats for Medium Pile Carpets</t>
  </si>
  <si>
    <t>Plantation</t>
  </si>
  <si>
    <t>Iris 3-Drawer Stacking Bin, Black</t>
  </si>
  <si>
    <t>Tenex Traditional Chairmats for Hard Floors, Average Lip, 36" x 48"</t>
  </si>
  <si>
    <t>Belkin 19" Center-Weighted Shelf, Gray</t>
  </si>
  <si>
    <t>SanDisk Ultra 16 GB MicroSDHC Class 10 Memory Card</t>
  </si>
  <si>
    <t>Asheville</t>
  </si>
  <si>
    <t>Tennsco Commercial Shelving</t>
  </si>
  <si>
    <t>Eldon Advantage Foldable Chair Mats for Low Pile Carpets</t>
  </si>
  <si>
    <t>Hon Deluxe Fabric Upholstered Stacking Chairs</t>
  </si>
  <si>
    <t>Clearsounds A400</t>
  </si>
  <si>
    <t>iOttie XL Car Mount</t>
  </si>
  <si>
    <t>Eldon Base for stackable storage shelf, platinum</t>
  </si>
  <si>
    <t>Cisco CP-7937G Unified IP Conference Station Phone</t>
  </si>
  <si>
    <t>OtterBox Commuter Series Case - Samsung Galaxy S4</t>
  </si>
  <si>
    <t>Fellowes Econo/Stor Drawers</t>
  </si>
  <si>
    <t>Bush Somerset Collection Bookcase</t>
  </si>
  <si>
    <t>Compact Automatic Electric Letter Opener</t>
  </si>
  <si>
    <t>Contico 72"H Heavy-Duty Storage System</t>
  </si>
  <si>
    <t>V7 USB Numeric Keypad</t>
  </si>
  <si>
    <t>i.Sound Portable Power - 8000 mAh</t>
  </si>
  <si>
    <t>Gould Plastics 9-Pocket Panel Bin, 18-3/8w x 5-1/4d x 20-1/2h, Black</t>
  </si>
  <si>
    <t>Office Impressions End Table, 20-1/2"H x 24"W x 20"D</t>
  </si>
  <si>
    <t>O'Sullivan Elevations Bookcase, Cherry Finish</t>
  </si>
  <si>
    <t>Tamarac</t>
  </si>
  <si>
    <t>GBC Plasticlear Binding Covers</t>
  </si>
  <si>
    <t>Carina Mini System Audio Rack, Model AR050B</t>
  </si>
  <si>
    <t>Avery Recycled Flexi-View Covers for Binding Systems</t>
  </si>
  <si>
    <t>Sauder Forest Hills Library, Woodland Oak Finish</t>
  </si>
  <si>
    <t>Rush Hierlooms Collection Rich Wood Bookcases</t>
  </si>
  <si>
    <t>Hewlett-Packard Deskjet F4180 All-in-One Color Ink-jet - Printer / copier / scanner</t>
  </si>
  <si>
    <t>Apple Valley</t>
  </si>
  <si>
    <t>Space Solutions Commercial Steel Shelving</t>
  </si>
  <si>
    <t>Fellowes Command Center 5-outlet power strip</t>
  </si>
  <si>
    <t>Sensible Storage WireTech Storage Systems</t>
  </si>
  <si>
    <t>Sauder Camden County Collection Libraries, Planked Cherry Finish</t>
  </si>
  <si>
    <t>Highland Park</t>
  </si>
  <si>
    <t>O'Sullivan Cherrywood Estates Traditional Barrister Bookcase</t>
  </si>
  <si>
    <t>Eldon Executive Woodline II Cherry Finish Desk Accessories</t>
  </si>
  <si>
    <t>O'Sullivan Living Dimensions 2-Shelf Bookcases</t>
  </si>
  <si>
    <t>Global Task Chair, Black</t>
  </si>
  <si>
    <t>Sauder Cornerstone Collection Library</t>
  </si>
  <si>
    <t>Wilson Jones Elliptical Ring 3 1/2" Capacity Binders, 800 sheets</t>
  </si>
  <si>
    <t>GBC Linen Binding Covers</t>
  </si>
  <si>
    <t>Motorola HK250 Universal Bluetooth Headset</t>
  </si>
  <si>
    <t>Bush Westfield Collection Bookcases, Dark Cherry Finish</t>
  </si>
  <si>
    <t>Acco D-Ring Binder w/DublLock</t>
  </si>
  <si>
    <t>Sauder Camden County Collection Library</t>
  </si>
  <si>
    <t>Barricks 18" x 48" Non-Folding Utility Table with Bottom Storage Shelf</t>
  </si>
  <si>
    <t>Tennsco Industrial Shelving</t>
  </si>
  <si>
    <t>Carina 42"Hx23 3/4"W Media Storage Unit</t>
  </si>
  <si>
    <t>Eldon Cleatmat Plus Chair Mats for High Pile Carpets</t>
  </si>
  <si>
    <t>Acco 6 Outlet Guardian Premium Plus Surge Suppressor</t>
  </si>
  <si>
    <t>Sacramento</t>
  </si>
  <si>
    <t>Global Leather &amp; Oak Executive Chair, Burgundy</t>
  </si>
  <si>
    <t>Chandler</t>
  </si>
  <si>
    <t>Hon 2111 Invitation Series Straight Table</t>
  </si>
  <si>
    <t>Bush Birmingham Collection Bookcase, Dark Cherry</t>
  </si>
  <si>
    <t>Cisco IP Phone 7961G-GE VoIP phone</t>
  </si>
  <si>
    <t>Belkin F9S820V06 8 Outlet Surge</t>
  </si>
  <si>
    <t>Carina Media Storage Towers in Natural &amp; Black</t>
  </si>
  <si>
    <t>Deflect-o EconoMat Studded, No Bevel Mat for Low Pile Carpeting</t>
  </si>
  <si>
    <t>Sauder Mission Library with Doors, Fruitwood Finish</t>
  </si>
  <si>
    <t>Atlantic Metals Mobile 4-Shelf Bookcases, Custom Colors</t>
  </si>
  <si>
    <t>Safco Industrial Wire Shelving</t>
  </si>
  <si>
    <t>Samsung Galaxy Note 2</t>
  </si>
  <si>
    <t>Tenex Chairmats For Use with Hard Floors</t>
  </si>
  <si>
    <t>Office Star - Mesh Screen back chair with Vinyl seat</t>
  </si>
  <si>
    <t>Novimex Fabric Task Chair</t>
  </si>
  <si>
    <t>O'Sullivan 2-Shelf Heavy-Duty Bookcases</t>
  </si>
  <si>
    <t>Novimex High-Tech Fabric Mesh Task Chair</t>
  </si>
  <si>
    <t>Bush Andora Conference Table, Maple/Graphite Gray Finish</t>
  </si>
  <si>
    <t>Hon 61000 Series Interactive Training Tables</t>
  </si>
  <si>
    <t>Safco Industrial Shelving</t>
  </si>
  <si>
    <t>Office Star - Contemporary Task Swivel chair with 2-way adjustable arms, Plum</t>
  </si>
  <si>
    <t>Harrisonburg</t>
  </si>
  <si>
    <t>Bevis 44 x 96 Conference Tables</t>
  </si>
  <si>
    <t>Cisco 8961 IP Phone Charcoal</t>
  </si>
  <si>
    <t>Office Impressions Heavy Duty Welded Shelving &amp; Multimedia Storage Drawers</t>
  </si>
  <si>
    <t>O'Sullivan Living Dimensions 3-Shelf Bookcases</t>
  </si>
  <si>
    <t>Epson Perfection V600 Photo Scanner</t>
  </si>
  <si>
    <t>Gould Plastics 18-Pocket Panel Bin, 34w x 5-1/4d x 20-1/2h</t>
  </si>
  <si>
    <t>Rubbermaid ClusterMat Chairmats, Mat Size- 66" x 60", Lip 20" x 11" -90 Degree Angle</t>
  </si>
  <si>
    <t>Honeywell Enviracaire Portable Air Cleaner for up to 8 x 10 Room</t>
  </si>
  <si>
    <t>Hon 30" x 60" Table with Locking Drawer</t>
  </si>
  <si>
    <t>Belkin 19" Vented Equipment Shelf, Black</t>
  </si>
  <si>
    <t>Allen</t>
  </si>
  <si>
    <t>Chromcraft Round Conference Tables</t>
  </si>
  <si>
    <t>Bush Westfield Collection Bookcases, Dark Cherry Finish, Fully Assembled</t>
  </si>
  <si>
    <t>Des Plaines</t>
  </si>
  <si>
    <t>Hon 4-Shelf Metal Bookcases</t>
  </si>
  <si>
    <t>Bevis Round Bullnose 29" High Table Top</t>
  </si>
  <si>
    <t>High-Back Leather Manager's Chair</t>
  </si>
  <si>
    <t>Premier Elliptical Ring Binder, Black</t>
  </si>
  <si>
    <t>Laminate Occasional Tables</t>
  </si>
  <si>
    <t>Global Deluxe High-Back Office Chair in Storm</t>
  </si>
  <si>
    <t>Bush Heritage Pine Collection 5-Shelf Bookcase, Albany Pine Finish, *Special Order</t>
  </si>
  <si>
    <t>LG Exalt</t>
  </si>
  <si>
    <t>KI Adjustable-Height Table</t>
  </si>
  <si>
    <t>Balt Solid Wood Rectangular Table</t>
  </si>
  <si>
    <t>Global Deluxe Steno Chair</t>
  </si>
  <si>
    <t>Safco Industrial Wire Shelving System</t>
  </si>
  <si>
    <t>Tenex Carpeted, Granite-Look or Clear Contemporary Contour Shape Chair Mats</t>
  </si>
  <si>
    <t>Office Star Flex Back Scooter Chair with White Frame</t>
  </si>
  <si>
    <t>Hon 5100 Series Wood Tables</t>
  </si>
  <si>
    <t>Catalog Binders with Expanding Posts</t>
  </si>
  <si>
    <t>Global Low Back Tilter Chair</t>
  </si>
  <si>
    <t>Okidata B401 Printer</t>
  </si>
  <si>
    <t>Xerox WorkCentre 6505DN Laser Multifunction Printer</t>
  </si>
  <si>
    <t>Eldon ClusterMat Chair Mat with Cordless Antistatic Protection</t>
  </si>
  <si>
    <t>High Speed Automatic Electric Letter Opener</t>
  </si>
  <si>
    <t>Eldon "L" Workstation Diamond Chairmat</t>
  </si>
  <si>
    <t>O'Sullivan Manor Hill 2-Door Library in Brianna Oak</t>
  </si>
  <si>
    <t>Okidata C610n Printer</t>
  </si>
  <si>
    <t>Sauder Barrister Bookcases</t>
  </si>
  <si>
    <t>Hon Rectangular Conference Tables</t>
  </si>
  <si>
    <t>Ibico Hi-Tech Manual Binding System</t>
  </si>
  <si>
    <t>Littleton</t>
  </si>
  <si>
    <t>Atlantic Metals Mobile 2-Shelf Bookcases, Custom Colors</t>
  </si>
  <si>
    <t>Brother MFC-9340CDW LED All-In-One Printer, Copier Scanner</t>
  </si>
  <si>
    <t>Euro Pro Shark Stick Mini Vacuum</t>
  </si>
  <si>
    <t>Lesro Round Back Collection Coffee Table, End Table</t>
  </si>
  <si>
    <t>Fellowes Officeware Wire Shelving</t>
  </si>
  <si>
    <t>Jawbone MINI JAMBOX Wireless Bluetooth Speaker</t>
  </si>
  <si>
    <t>Deflect-o RollaMat Studded, Beveled Mat for Medium Pile Carpeting</t>
  </si>
  <si>
    <t>Bretford Rectangular Conference Table Tops</t>
  </si>
  <si>
    <t>Global Geo Office Task Chair, Gray</t>
  </si>
  <si>
    <t>LG G2</t>
  </si>
  <si>
    <t>Balt Split Level Computer Training Table</t>
  </si>
  <si>
    <t>Iceberg OfficeWorks 42" Round Tables</t>
  </si>
  <si>
    <t>Hon 2111 Invitation Series Corner Table</t>
  </si>
  <si>
    <t>Chromcraft 48" x 96" Racetrack Double Pedestal Table</t>
  </si>
  <si>
    <t>GBC VeloBinder Electric Binding Machine</t>
  </si>
  <si>
    <t>Riverside Furniture Stanwyck Manor Table Series</t>
  </si>
  <si>
    <t>Sauder Forest Hills Library with Doors, Woodland Oak Finish</t>
  </si>
  <si>
    <t>Premier Automatic Letter Opener</t>
  </si>
  <si>
    <t>Okidata MB491 Multifunction Printer</t>
  </si>
  <si>
    <t>Novimex Swivel Fabric Task Chair</t>
  </si>
  <si>
    <t>Bevis Boat-Shaped Conference Table</t>
  </si>
  <si>
    <t>Swingline SM12-08 MicroCut Jam Free Shredder</t>
  </si>
  <si>
    <t>Buffalo Grove</t>
  </si>
  <si>
    <t>Chromcraft Rectangular Conference Tables</t>
  </si>
  <si>
    <t>Bevis Traditional Conference Table Top, Plinth Base</t>
  </si>
  <si>
    <t>Global Enterprise Series Seating High-Back Swivel/Tilt Chairs</t>
  </si>
  <si>
    <t>Gastonia</t>
  </si>
  <si>
    <t>GBC ProClick 150 Presentation Binding System</t>
  </si>
  <si>
    <t>Greenville</t>
  </si>
  <si>
    <t>3D Systems Cube Printer, 2nd Generation, White</t>
  </si>
  <si>
    <t>SAFCO Boltless Steel Shelving</t>
  </si>
  <si>
    <t>Global High-Back Leather Tilter, Burgundy</t>
  </si>
  <si>
    <t>KI Conference Tables</t>
  </si>
  <si>
    <t>Office Star - Contemporary Task Swivel chair with Loop Arms, Charcoal</t>
  </si>
  <si>
    <t>Global Wood Trimmed Manager's Task Chair, Khaki</t>
  </si>
  <si>
    <t>Lexmark MarkNet N8150 Wireless Print Server</t>
  </si>
  <si>
    <t>Bevis Round Conference Table Top, X-Base</t>
  </si>
  <si>
    <t>Tenex Chairmat w/ Average Lip, 45" x 53"</t>
  </si>
  <si>
    <t>Tenex Antistatic Computer Chair Mats</t>
  </si>
  <si>
    <t>Bretford CR4500 Series Slim Rectangular Table</t>
  </si>
  <si>
    <t>Bevis Rectangular Conference Tables</t>
  </si>
  <si>
    <t>Hon Racetrack Conference Tables</t>
  </si>
  <si>
    <t>Chromcraft Bull-Nose Wood 48" x 96" Rectangular Conference Tables</t>
  </si>
  <si>
    <t>Bestar Classic Bookcase</t>
  </si>
  <si>
    <t>SAFCO Commercial Wire Shelving, Black</t>
  </si>
  <si>
    <t>Riverside Palais Royal Lawyers Bookcase, Royale Cherry Finish</t>
  </si>
  <si>
    <t>Hon 94000 Series Round Tables</t>
  </si>
  <si>
    <t>O'Sullivan Living Dimensions 5-Shelf Bookcases</t>
  </si>
  <si>
    <t>O'Sullivan Plantations 2-Door Library in Landvery Oak</t>
  </si>
  <si>
    <t>StarTech.com 10/100 VDSL2 Ethernet Extender Kit</t>
  </si>
  <si>
    <t>BPI Conference Tables</t>
  </si>
  <si>
    <t>Tennsco Single-Tier Lockers</t>
  </si>
  <si>
    <t>Bevis Oval Conference Table, Walnut</t>
  </si>
  <si>
    <t>3.6 Cubic Foot Counter Height Office Refrigerator</t>
  </si>
  <si>
    <t>Zebra GK420t Direct Thermal/Thermal Transfer Printer</t>
  </si>
  <si>
    <t>Bretford “Just In Time” Height-Adjustable Multi-Task Work Tables</t>
  </si>
  <si>
    <t>O'Sullivan 4-Shelf Bookcase in Odessa Pine</t>
  </si>
  <si>
    <t>Hon 2090 “Pillow Soft” Series Mid Back Swivel/Tilt Chairs</t>
  </si>
  <si>
    <t>Epson TM-T88V Direct Thermal Printer - Monochrome - Desktop</t>
  </si>
  <si>
    <t>Riverside Furniture Oval Coffee Table, Oval End Table, End Table with Drawer</t>
  </si>
  <si>
    <t>BoxOffice By Design Rectangular and Half-Moon Meeting Room Tables</t>
  </si>
  <si>
    <t>Balt Solid Wood Round Tables</t>
  </si>
  <si>
    <t>Martin Yale Chadless Opener Electric Letter Opener</t>
  </si>
  <si>
    <t>Cisco TelePresence System EX90 Videoconferencing Unit</t>
  </si>
  <si>
    <t>GBC DocuBind P400 Electric Binding System</t>
  </si>
  <si>
    <t>Bush Advantage Collection Racetrack Conference Table</t>
  </si>
  <si>
    <t>Chromcraft Bull-Nose Wood Oval Conference Tables &amp; Bases</t>
  </si>
  <si>
    <t>Cubify CubeX 3D Printer Triple Head Print</t>
  </si>
  <si>
    <t>Lexmark MX611dhe Monochrome Laser Printer</t>
  </si>
  <si>
    <t>Cubify CubeX 3D Printer Double Head Print</t>
  </si>
  <si>
    <t>Retail Profitability Analysis Dashboard</t>
  </si>
  <si>
    <t>Año</t>
  </si>
  <si>
    <t>Fecha</t>
  </si>
  <si>
    <t>Categoría</t>
  </si>
  <si>
    <t>Transacción/Descripción</t>
  </si>
  <si>
    <t>Tipo</t>
  </si>
  <si>
    <t>Monto ($)</t>
  </si>
  <si>
    <t>Salario</t>
  </si>
  <si>
    <t>Vivienda</t>
  </si>
  <si>
    <t>Alimentación</t>
  </si>
  <si>
    <t>Transporte</t>
  </si>
  <si>
    <t>Freelance</t>
  </si>
  <si>
    <t>Pago Enero</t>
  </si>
  <si>
    <t>Alquiler</t>
  </si>
  <si>
    <t>Supermercado Semanal</t>
  </si>
  <si>
    <t>Gasolina</t>
  </si>
  <si>
    <t>Proyecto Cliente A</t>
  </si>
  <si>
    <t>Ingreso</t>
  </si>
  <si>
    <t>Gasto</t>
  </si>
  <si>
    <t>2500.00</t>
  </si>
  <si>
    <t>500.00</t>
  </si>
  <si>
    <t>Total Orders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</si>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</sst>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4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2" fillId="3" borderId="0" xfId="2"/>
    <xf numFmtId="0" fontId="1" fillId="2" borderId="0" xfId="1"/>
    <xf numFmtId="14" fontId="0" fillId="0" borderId="0" xfId="0" applyNumberFormat="1"/>
    <xf numFmtId="0" fontId="0" fillId="4" borderId="1" xfId="0" applyFill="1" applyBorder="1"/>
    <xf numFmtId="0" fontId="0" fillId="4" borderId="4" xfId="0" applyFill="1" applyBorder="1"/>
    <xf numFmtId="14" fontId="0" fillId="4" borderId="4" xfId="0" applyNumberFormat="1" applyFill="1" applyBorder="1"/>
    <xf numFmtId="0" fontId="0" fillId="4" borderId="5" xfId="0" applyFill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0" fontId="0" fillId="4" borderId="2" xfId="0" applyFill="1" applyBorder="1"/>
    <xf numFmtId="14" fontId="0" fillId="4" borderId="2" xfId="0" applyNumberFormat="1" applyFill="1" applyBorder="1"/>
    <xf numFmtId="0" fontId="0" fillId="4" borderId="3" xfId="0" applyFill="1" applyBorder="1"/>
    <xf numFmtId="0" fontId="0" fillId="4" borderId="6" xfId="0" applyFill="1" applyBorder="1"/>
    <xf numFmtId="14" fontId="0" fillId="4" borderId="6" xfId="0" applyNumberFormat="1" applyFill="1" applyBorder="1"/>
    <xf numFmtId="4" fontId="0" fillId="0" borderId="0" xfId="0" applyNumberFormat="1"/>
    <xf numFmtId="10" fontId="0" fillId="0" borderId="0" xfId="0" applyNumberFormat="1"/>
    <xf numFmtId="3" fontId="5" fillId="7" borderId="10" xfId="0" applyNumberFormat="1" applyFont="1" applyFill="1" applyBorder="1" applyAlignment="1">
      <alignment horizontal="center" vertical="center"/>
    </xf>
    <xf numFmtId="3" fontId="5" fillId="7" borderId="11" xfId="0" applyNumberFormat="1" applyFont="1" applyFill="1" applyBorder="1" applyAlignment="1">
      <alignment horizontal="center" vertical="center"/>
    </xf>
    <xf numFmtId="3" fontId="5" fillId="7" borderId="12" xfId="0" applyNumberFormat="1" applyFont="1" applyFill="1" applyBorder="1" applyAlignment="1">
      <alignment horizontal="center" vertical="center"/>
    </xf>
    <xf numFmtId="3" fontId="5" fillId="7" borderId="13" xfId="0" applyNumberFormat="1" applyFont="1" applyFill="1" applyBorder="1" applyAlignment="1">
      <alignment horizontal="center" vertical="center"/>
    </xf>
    <xf numFmtId="3" fontId="5" fillId="7" borderId="0" xfId="0" applyNumberFormat="1" applyFont="1" applyFill="1" applyAlignment="1">
      <alignment horizontal="center" vertical="center"/>
    </xf>
    <xf numFmtId="3" fontId="5" fillId="7" borderId="14" xfId="0" applyNumberFormat="1" applyFont="1" applyFill="1" applyBorder="1" applyAlignment="1">
      <alignment horizontal="center" vertical="center"/>
    </xf>
    <xf numFmtId="3" fontId="5" fillId="7" borderId="15" xfId="0" applyNumberFormat="1" applyFont="1" applyFill="1" applyBorder="1" applyAlignment="1">
      <alignment horizontal="center" vertical="center"/>
    </xf>
    <xf numFmtId="3" fontId="5" fillId="7" borderId="16" xfId="0" applyNumberFormat="1" applyFont="1" applyFill="1" applyBorder="1" applyAlignment="1">
      <alignment horizontal="center" vertical="center"/>
    </xf>
    <xf numFmtId="3" fontId="5" fillId="7" borderId="17" xfId="0" applyNumberFormat="1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10" fontId="5" fillId="7" borderId="10" xfId="0" applyNumberFormat="1" applyFont="1" applyFill="1" applyBorder="1" applyAlignment="1">
      <alignment horizontal="center" vertical="center"/>
    </xf>
    <xf numFmtId="10" fontId="5" fillId="7" borderId="11" xfId="0" applyNumberFormat="1" applyFont="1" applyFill="1" applyBorder="1" applyAlignment="1">
      <alignment horizontal="center" vertical="center"/>
    </xf>
    <xf numFmtId="10" fontId="5" fillId="7" borderId="12" xfId="0" applyNumberFormat="1" applyFont="1" applyFill="1" applyBorder="1" applyAlignment="1">
      <alignment horizontal="center" vertical="center"/>
    </xf>
    <xf numFmtId="10" fontId="5" fillId="7" borderId="13" xfId="0" applyNumberFormat="1" applyFont="1" applyFill="1" applyBorder="1" applyAlignment="1">
      <alignment horizontal="center" vertical="center"/>
    </xf>
    <xf numFmtId="10" fontId="5" fillId="7" borderId="0" xfId="0" applyNumberFormat="1" applyFont="1" applyFill="1" applyAlignment="1">
      <alignment horizontal="center" vertical="center"/>
    </xf>
    <xf numFmtId="10" fontId="5" fillId="7" borderId="14" xfId="0" applyNumberFormat="1" applyFont="1" applyFill="1" applyBorder="1" applyAlignment="1">
      <alignment horizontal="center" vertical="center"/>
    </xf>
    <xf numFmtId="10" fontId="5" fillId="7" borderId="15" xfId="0" applyNumberFormat="1" applyFont="1" applyFill="1" applyBorder="1" applyAlignment="1">
      <alignment horizontal="center" vertical="center"/>
    </xf>
    <xf numFmtId="10" fontId="5" fillId="7" borderId="16" xfId="0" applyNumberFormat="1" applyFont="1" applyFill="1" applyBorder="1" applyAlignment="1">
      <alignment horizontal="center" vertical="center"/>
    </xf>
    <xf numFmtId="10" fontId="5" fillId="7" borderId="17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</cellXfs>
  <cellStyles count="3">
    <cellStyle name="Bueno" xfId="1" builtinId="26"/>
    <cellStyle name="Incorrecto" xfId="2" builtinId="27"/>
    <cellStyle name="Normal" xfId="0" builtinId="0"/>
  </cellStyles>
  <dxfs count="1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alignment horizontal="left" vertical="bottom" textRotation="0" wrapText="0" indent="0" justifyLastLine="0" shrinkToFit="0" readingOrder="0"/>
    </dxf>
    <dxf>
      <numFmt numFmtId="4" formatCode="#,##0.00"/>
    </dxf>
  </dxfs>
  <tableStyles count="0" defaultTableStyle="TableStyleMedium2" defaultPivotStyle="PivotStyleLight16"/>
  <colors>
    <mruColors>
      <color rgb="FFD9D9D9"/>
      <color rgb="FF2E7D32"/>
      <color rgb="FFC0392B"/>
      <color rgb="FFFF746C"/>
      <color rgb="FF1F4E79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'02_Category_Analysis'!$B$1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'02_Category_Analysis'!$A$2:$A$4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'02_Category_Analysis'!$B$2:$B$4</c:f>
              <c:numCache>
                <c:formatCode>General</c:formatCode>
                <c:ptCount val="3"/>
                <c:pt idx="0">
                  <c:v>839893.28</c:v>
                </c:pt>
                <c:pt idx="1">
                  <c:v>731893.31</c:v>
                </c:pt>
                <c:pt idx="2">
                  <c:v>754747.76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BB-4912-95B7-47BC6694F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591088"/>
        <c:axId val="1619589168"/>
      </c:barChart>
      <c:catAx>
        <c:axId val="16195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9589168"/>
        <c:crosses val="autoZero"/>
        <c:auto val="1"/>
        <c:lblAlgn val="ctr"/>
        <c:lblOffset val="100"/>
        <c:noMultiLvlLbl val="0"/>
      </c:catAx>
      <c:valAx>
        <c:axId val="161958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959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'02_Category_Analysis'!$C$1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'02_Category_Analysis'!$A$2:$A$4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'02_Category_Analysis'!$C$2:$C$4</c:f>
              <c:numCache>
                <c:formatCode>General</c:formatCode>
                <c:ptCount val="3"/>
                <c:pt idx="0">
                  <c:v>146543.38</c:v>
                </c:pt>
                <c:pt idx="1">
                  <c:v>126023.44</c:v>
                </c:pt>
                <c:pt idx="2">
                  <c:v>19730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F-44BB-889C-690104585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0385120"/>
        <c:axId val="1570382240"/>
      </c:barChart>
      <c:catAx>
        <c:axId val="157038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382240"/>
        <c:crosses val="autoZero"/>
        <c:auto val="1"/>
        <c:lblAlgn val="ctr"/>
        <c:lblOffset val="100"/>
        <c:noMultiLvlLbl val="0"/>
      </c:catAx>
      <c:valAx>
        <c:axId val="157038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38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6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S"/>
              <a:t>Profit</a:t>
            </a:r>
            <a:r>
              <a:rPr lang="es-ES" baseline="0"/>
              <a:t> By Subcategory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'03_Subcategory_Analysis'!$C$1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'03_Subcategory_Analysis'!$A$2:$A$18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'03_Subcategory_Analysis'!$C$2:$C$18</c:f>
              <c:numCache>
                <c:formatCode>General</c:formatCode>
                <c:ptCount val="17"/>
                <c:pt idx="0">
                  <c:v>56093.94</c:v>
                </c:pt>
                <c:pt idx="1">
                  <c:v>45050.83</c:v>
                </c:pt>
                <c:pt idx="2">
                  <c:v>41936.639999999999</c:v>
                </c:pt>
                <c:pt idx="3">
                  <c:v>34511.51</c:v>
                </c:pt>
                <c:pt idx="4">
                  <c:v>31426.1</c:v>
                </c:pt>
                <c:pt idx="5">
                  <c:v>27223.53</c:v>
                </c:pt>
                <c:pt idx="6">
                  <c:v>21285.11</c:v>
                </c:pt>
                <c:pt idx="7">
                  <c:v>18329.48</c:v>
                </c:pt>
                <c:pt idx="8">
                  <c:v>13891.74</c:v>
                </c:pt>
                <c:pt idx="9">
                  <c:v>6988.02</c:v>
                </c:pt>
                <c:pt idx="10">
                  <c:v>6653.2</c:v>
                </c:pt>
                <c:pt idx="11">
                  <c:v>5572.78</c:v>
                </c:pt>
                <c:pt idx="12">
                  <c:v>3461.98</c:v>
                </c:pt>
                <c:pt idx="13">
                  <c:v>2428.64</c:v>
                </c:pt>
                <c:pt idx="14">
                  <c:v>-1171.3900000000001</c:v>
                </c:pt>
                <c:pt idx="15">
                  <c:v>-3632.07</c:v>
                </c:pt>
                <c:pt idx="16">
                  <c:v>-17753.21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746C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1-31FF-4A73-A221-80897065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83146928"/>
        <c:axId val="1883151248"/>
      </c:barChart>
      <c:catAx>
        <c:axId val="188314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3151248"/>
        <c:crosses val="autoZero"/>
        <c:auto val="1"/>
        <c:lblAlgn val="ctr"/>
        <c:lblOffset val="100"/>
        <c:noMultiLvlLbl val="0"/>
      </c:catAx>
      <c:valAx>
        <c:axId val="1883151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31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50000"/>
      </a:schemeClr>
    </a:solidFill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</a:t>
            </a:r>
            <a:r>
              <a:rPr lang="en-US" b="1" baseline="0">
                <a:solidFill>
                  <a:schemeClr val="tx1"/>
                </a:solidFill>
              </a:rPr>
              <a:t> vs Discount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'05_Discount_Analysis'!$C$1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'05_Discount_Analysis'!$A$2:$A$13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xVal>
          <c:yVal>
            <c:numRef>
              <c:f>'05_Discount_Analysis'!$C$2:$C$13</c:f>
              <c:numCache>
                <c:formatCode>General</c:formatCode>
                <c:ptCount val="12"/>
                <c:pt idx="0">
                  <c:v>66.34</c:v>
                </c:pt>
                <c:pt idx="1">
                  <c:v>94.79</c:v>
                </c:pt>
                <c:pt idx="2">
                  <c:v>27.29</c:v>
                </c:pt>
                <c:pt idx="3">
                  <c:v>24.58</c:v>
                </c:pt>
                <c:pt idx="4">
                  <c:v>-45.71</c:v>
                </c:pt>
                <c:pt idx="5">
                  <c:v>-88.56</c:v>
                </c:pt>
                <c:pt idx="6">
                  <c:v>-111.53</c:v>
                </c:pt>
                <c:pt idx="7">
                  <c:v>-226.65</c:v>
                </c:pt>
                <c:pt idx="8">
                  <c:v>-310.7</c:v>
                </c:pt>
                <c:pt idx="9">
                  <c:v>-41.37</c:v>
                </c:pt>
                <c:pt idx="10">
                  <c:v>-95.05</c:v>
                </c:pt>
                <c:pt idx="11">
                  <c:v>-101.55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37-47AF-9383-E4956137B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9183"/>
        <c:axId val="190519663"/>
      </c:scatterChart>
      <c:valAx>
        <c:axId val="19051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19663"/>
        <c:crosses val="autoZero"/>
        <c:crossBetween val="midCat"/>
      </c:valAx>
      <c:valAx>
        <c:axId val="19051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19183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/>
              <a:t>Profit by Region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'06_Regional_Analysis'!$C$1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B21-4E79-8165-18B06089942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1-4E79-8165-18B06089942A}"/>
              </c:ext>
            </c:extLst>
          </c:dPt>
          <c:dPt>
            <c:idx val="3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B21-4E79-8165-18B06089942A}"/>
              </c:ext>
            </c:extLst>
          </c:dPt>
          <c:cat>
            <c:strRef>
              <c:f>'06_Regional_Analysis'!$A$2:$A$5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'06_Regional_Analysis'!$C$2:$C$5</c:f>
              <c:numCache>
                <c:formatCode>General</c:formatCode>
                <c:ptCount val="4"/>
                <c:pt idx="0">
                  <c:v>39865.31</c:v>
                </c:pt>
                <c:pt idx="1">
                  <c:v>46749.43</c:v>
                </c:pt>
                <c:pt idx="2">
                  <c:v>94883.26</c:v>
                </c:pt>
                <c:pt idx="3">
                  <c:v>110798.82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21-4E79-8165-18B060899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515680"/>
        <c:axId val="1687513280"/>
      </c:barChart>
      <c:catAx>
        <c:axId val="16875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513280"/>
        <c:crosses val="autoZero"/>
        <c:auto val="1"/>
        <c:lblAlgn val="ctr"/>
        <c:lblOffset val="100"/>
        <c:noMultiLvlLbl val="0"/>
      </c:catAx>
      <c:valAx>
        <c:axId val="16875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5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'02_Category_Analysis'!$B$1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cat>
            <c:strRef>
              <c:f>'02_Category_Analysis'!$A$2:$A$4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'02_Category_Analysis'!$B$2:$B$4</c:f>
              <c:numCache>
                <c:formatCode>General</c:formatCode>
                <c:ptCount val="3"/>
                <c:pt idx="0">
                  <c:v>839893.28</c:v>
                </c:pt>
                <c:pt idx="1">
                  <c:v>731893.31</c:v>
                </c:pt>
                <c:pt idx="2">
                  <c:v>754747.76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91-47F3-B3B8-68D9C3B18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9591088"/>
        <c:axId val="1619589168"/>
      </c:barChart>
      <c:catAx>
        <c:axId val="16195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9589168"/>
        <c:crosses val="autoZero"/>
        <c:auto val="1"/>
        <c:lblAlgn val="ctr"/>
        <c:lblOffset val="100"/>
        <c:noMultiLvlLbl val="0"/>
      </c:catAx>
      <c:valAx>
        <c:axId val="1619589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1959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'02_Category_Analysis'!$C$1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'02_Category_Analysis'!$A$2:$A$4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'02_Category_Analysis'!$C$2:$C$4</c:f>
              <c:numCache>
                <c:formatCode>General</c:formatCode>
                <c:ptCount val="3"/>
                <c:pt idx="0">
                  <c:v>146543.38</c:v>
                </c:pt>
                <c:pt idx="1">
                  <c:v>126023.44</c:v>
                </c:pt>
                <c:pt idx="2">
                  <c:v>19730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9-40F5-9134-D9D660095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0385120"/>
        <c:axId val="1570382240"/>
      </c:barChart>
      <c:catAx>
        <c:axId val="1570385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382240"/>
        <c:crosses val="autoZero"/>
        <c:auto val="1"/>
        <c:lblAlgn val="ctr"/>
        <c:lblOffset val="100"/>
        <c:noMultiLvlLbl val="0"/>
      </c:catAx>
      <c:valAx>
        <c:axId val="15703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7038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'03_Subcategory_Analysis'!$C$1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2E7D3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1"/>
          <c:cat>
            <c:strRef>
              <c:f>'03_Subcategory_Analysis'!$A$2:$A$18</c:f>
              <c:strCache>
                <c:ptCount val="17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  <c:pt idx="5">
                  <c:v>Chairs</c:v>
                </c:pt>
                <c:pt idx="6">
                  <c:v>Storage</c:v>
                </c:pt>
                <c:pt idx="7">
                  <c:v>Appliances</c:v>
                </c:pt>
                <c:pt idx="8">
                  <c:v>Furnishings</c:v>
                </c:pt>
                <c:pt idx="9">
                  <c:v>Envelopes</c:v>
                </c:pt>
                <c:pt idx="10">
                  <c:v>Art</c:v>
                </c:pt>
                <c:pt idx="11">
                  <c:v>Labels</c:v>
                </c:pt>
                <c:pt idx="12">
                  <c:v>Machines</c:v>
                </c:pt>
                <c:pt idx="13">
                  <c:v>Fasteners</c:v>
                </c:pt>
                <c:pt idx="14">
                  <c:v>Supplies</c:v>
                </c:pt>
                <c:pt idx="15">
                  <c:v>Bookcases</c:v>
                </c:pt>
                <c:pt idx="16">
                  <c:v>Tables</c:v>
                </c:pt>
              </c:strCache>
            </c:strRef>
          </c:cat>
          <c:val>
            <c:numRef>
              <c:f>'03_Subcategory_Analysis'!$C$2:$C$18</c:f>
              <c:numCache>
                <c:formatCode>General</c:formatCode>
                <c:ptCount val="17"/>
                <c:pt idx="0">
                  <c:v>56093.94</c:v>
                </c:pt>
                <c:pt idx="1">
                  <c:v>45050.83</c:v>
                </c:pt>
                <c:pt idx="2">
                  <c:v>41936.639999999999</c:v>
                </c:pt>
                <c:pt idx="3">
                  <c:v>34511.51</c:v>
                </c:pt>
                <c:pt idx="4">
                  <c:v>31426.1</c:v>
                </c:pt>
                <c:pt idx="5">
                  <c:v>27223.53</c:v>
                </c:pt>
                <c:pt idx="6">
                  <c:v>21285.11</c:v>
                </c:pt>
                <c:pt idx="7">
                  <c:v>18329.48</c:v>
                </c:pt>
                <c:pt idx="8">
                  <c:v>13891.74</c:v>
                </c:pt>
                <c:pt idx="9">
                  <c:v>6988.02</c:v>
                </c:pt>
                <c:pt idx="10">
                  <c:v>6653.2</c:v>
                </c:pt>
                <c:pt idx="11">
                  <c:v>5572.78</c:v>
                </c:pt>
                <c:pt idx="12">
                  <c:v>3461.98</c:v>
                </c:pt>
                <c:pt idx="13">
                  <c:v>2428.64</c:v>
                </c:pt>
                <c:pt idx="14">
                  <c:v>-1171.3900000000001</c:v>
                </c:pt>
                <c:pt idx="15">
                  <c:v>-3632.07</c:v>
                </c:pt>
                <c:pt idx="16">
                  <c:v>-17753.21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392B"/>
                  </a:soli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14:spPr>
              </c14:invertSolidFillFmt>
            </c:ext>
            <c:ext xmlns:c16="http://schemas.microsoft.com/office/drawing/2014/chart" uri="{C3380CC4-5D6E-409C-BE32-E72D297353CC}">
              <c16:uniqueId val="{00000000-9B63-4819-BC51-C5575D04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83146928"/>
        <c:axId val="1883151248"/>
      </c:barChart>
      <c:catAx>
        <c:axId val="1883146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3151248"/>
        <c:crosses val="autoZero"/>
        <c:auto val="1"/>
        <c:lblAlgn val="ctr"/>
        <c:lblOffset val="100"/>
        <c:noMultiLvlLbl val="0"/>
      </c:catAx>
      <c:valAx>
        <c:axId val="18831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8314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>
      <a:noFill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Profit</a:t>
            </a:r>
            <a:r>
              <a:rPr lang="en-US" b="1" baseline="0">
                <a:solidFill>
                  <a:schemeClr val="tx1"/>
                </a:solidFill>
              </a:rPr>
              <a:t> vs Discount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'05_Discount_Analysis'!$C$1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'05_Discount_Analysis'!$A$2:$A$13</c:f>
              <c:numCache>
                <c:formatCode>General</c:formatCod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numCache>
            </c:numRef>
          </c:xVal>
          <c:yVal>
            <c:numRef>
              <c:f>'05_Discount_Analysis'!$C$2:$C$13</c:f>
              <c:numCache>
                <c:formatCode>General</c:formatCode>
                <c:ptCount val="12"/>
                <c:pt idx="0">
                  <c:v>66.34</c:v>
                </c:pt>
                <c:pt idx="1">
                  <c:v>94.79</c:v>
                </c:pt>
                <c:pt idx="2">
                  <c:v>27.29</c:v>
                </c:pt>
                <c:pt idx="3">
                  <c:v>24.58</c:v>
                </c:pt>
                <c:pt idx="4">
                  <c:v>-45.71</c:v>
                </c:pt>
                <c:pt idx="5">
                  <c:v>-88.56</c:v>
                </c:pt>
                <c:pt idx="6">
                  <c:v>-111.53</c:v>
                </c:pt>
                <c:pt idx="7">
                  <c:v>-226.65</c:v>
                </c:pt>
                <c:pt idx="8">
                  <c:v>-310.7</c:v>
                </c:pt>
                <c:pt idx="9">
                  <c:v>-41.37</c:v>
                </c:pt>
                <c:pt idx="10">
                  <c:v>-95.05</c:v>
                </c:pt>
                <c:pt idx="11">
                  <c:v>-101.55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2-4D36-9C7B-5AA62903B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519183"/>
        <c:axId val="190519663"/>
      </c:scatterChart>
      <c:valAx>
        <c:axId val="190519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19663"/>
        <c:crosses val="autoZero"/>
        <c:crossBetween val="midCat"/>
      </c:valAx>
      <c:valAx>
        <c:axId val="190519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0519183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'06_Regional_Analysis'!$C$1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43-44E3-84AC-7707BA20EAB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D43-44E3-84AC-7707BA20EAB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43-44E3-84AC-7707BA20EAB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43-44E3-84AC-7707BA20EAB5}"/>
              </c:ext>
            </c:extLst>
          </c:dPt>
          <c:cat>
            <c:strRef>
              <c:f>'06_Regional_Analysis'!$A$2:$A$5</c:f>
              <c:strCache>
                <c:ptCount val="4"/>
                <c:pt idx="0">
                  <c:v>Central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'06_Regional_Analysis'!$C$2:$C$5</c:f>
              <c:numCache>
                <c:formatCode>General</c:formatCode>
                <c:ptCount val="4"/>
                <c:pt idx="0">
                  <c:v>39865.31</c:v>
                </c:pt>
                <c:pt idx="1">
                  <c:v>46749.43</c:v>
                </c:pt>
                <c:pt idx="2">
                  <c:v>94883.26</c:v>
                </c:pt>
                <c:pt idx="3">
                  <c:v>110798.82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3-44E3-84AC-7707BA20E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7515680"/>
        <c:axId val="1687513280"/>
      </c:barChart>
      <c:catAx>
        <c:axId val="16875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513280"/>
        <c:crosses val="autoZero"/>
        <c:auto val="1"/>
        <c:lblAlgn val="ctr"/>
        <c:lblOffset val="100"/>
        <c:noMultiLvlLbl val="0"/>
      </c:catAx>
      <c:valAx>
        <c:axId val="1687513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6875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6</xdr:row>
      <xdr:rowOff>26670</xdr:rowOff>
    </xdr:from>
    <xdr:to>
      <xdr:col>4</xdr:col>
      <xdr:colOff>350520</xdr:colOff>
      <xdr:row>18</xdr:row>
      <xdr:rowOff>137160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27B86D3-37F9-74F2-7E6B-4176375F7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175260</xdr:colOff>
      <xdr:row>6</xdr:row>
      <xdr:rowOff>30480</xdr:rowOff>
    </xdr:from>
    <xdr:to>
      <xdr:col>9</xdr:col>
      <xdr:colOff>320040</xdr:colOff>
      <xdr:row>19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8A289D7-29B9-7510-B784-438E4B8AA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6</xdr:row>
      <xdr:rowOff>41910</xdr:rowOff>
    </xdr:from>
    <xdr:to>
      <xdr:col>9</xdr:col>
      <xdr:colOff>594360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054521-F0E6-1400-8B64-6C0D189B4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6</xdr:row>
      <xdr:rowOff>41910</xdr:rowOff>
    </xdr:from>
    <xdr:to>
      <xdr:col>10</xdr:col>
      <xdr:colOff>289560</xdr:colOff>
      <xdr:row>21</xdr:row>
      <xdr:rowOff>41910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D6B32BC-E1B0-C87C-77D1-05D563A67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6</xdr:row>
      <xdr:rowOff>41910</xdr:rowOff>
    </xdr:from>
    <xdr:to>
      <xdr:col>12</xdr:col>
      <xdr:colOff>251460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9041C6-0AD2-A784-5A7D-4B30A7130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167639</xdr:rowOff>
    </xdr:from>
    <xdr:to>
      <xdr:col>5</xdr:col>
      <xdr:colOff>440471</xdr:colOff>
      <xdr:row>23</xdr:row>
      <xdr:rowOff>166112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17DCE5-0594-43B2-830D-0F539E811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9004</xdr:colOff>
      <xdr:row>9</xdr:row>
      <xdr:rowOff>167639</xdr:rowOff>
    </xdr:from>
    <xdr:to>
      <xdr:col>10</xdr:col>
      <xdr:colOff>452938</xdr:colOff>
      <xdr:row>23</xdr:row>
      <xdr:rowOff>166112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AA70F6-9251-472B-AE5A-27AAB7654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2191788</xdr:colOff>
      <xdr:row>25</xdr:row>
      <xdr:rowOff>5541</xdr:rowOff>
    </xdr:from>
    <xdr:to>
      <xdr:col>5</xdr:col>
      <xdr:colOff>419688</xdr:colOff>
      <xdr:row>38</xdr:row>
      <xdr:rowOff>148101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8F46C4BE-4382-4ECB-A6E3-1972C72822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8312</xdr:colOff>
      <xdr:row>24</xdr:row>
      <xdr:rowOff>169915</xdr:rowOff>
    </xdr:from>
    <xdr:to>
      <xdr:col>11</xdr:col>
      <xdr:colOff>251460</xdr:colOff>
      <xdr:row>38</xdr:row>
      <xdr:rowOff>129595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B85100C-28B3-4EE9-92A5-B8D85FFA2F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7025</xdr:colOff>
      <xdr:row>39</xdr:row>
      <xdr:rowOff>184066</xdr:rowOff>
    </xdr:from>
    <xdr:to>
      <xdr:col>5</xdr:col>
      <xdr:colOff>428396</xdr:colOff>
      <xdr:row>53</xdr:row>
      <xdr:rowOff>113266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2C1D64F-D6BB-4060-AC2E-B463542DB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676003</xdr:colOff>
      <xdr:row>10</xdr:row>
      <xdr:rowOff>31569</xdr:rowOff>
    </xdr:from>
    <xdr:to>
      <xdr:col>16</xdr:col>
      <xdr:colOff>612866</xdr:colOff>
      <xdr:row>21</xdr:row>
      <xdr:rowOff>22860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6782AB61-BB83-759F-05B3-116802B92045}"/>
            </a:ext>
          </a:extLst>
        </xdr:cNvPr>
        <xdr:cNvSpPr/>
      </xdr:nvSpPr>
      <xdr:spPr>
        <a:xfrm>
          <a:off x="10802983" y="1875609"/>
          <a:ext cx="3899263" cy="2002971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 b="1">
              <a:solidFill>
                <a:schemeClr val="tx1"/>
              </a:solidFill>
            </a:rPr>
            <a:t>KEY INSIGHTS</a:t>
          </a:r>
        </a:p>
        <a:p>
          <a:pPr algn="l"/>
          <a:endParaRPr lang="es-ES" sz="1100" b="1">
            <a:solidFill>
              <a:schemeClr val="tx1"/>
            </a:solidFill>
          </a:endParaRPr>
        </a:p>
        <a:p>
          <a:pPr algn="l"/>
          <a:r>
            <a:rPr lang="es-ES" sz="1100" b="1">
              <a:solidFill>
                <a:schemeClr val="tx1"/>
              </a:solidFill>
            </a:rPr>
            <a:t>• </a:t>
          </a:r>
          <a:r>
            <a:rPr lang="es-ES" sz="1100" b="0">
              <a:solidFill>
                <a:schemeClr val="tx1"/>
              </a:solidFill>
            </a:rPr>
            <a:t>Technology drives the highest profitability across categories.</a:t>
          </a:r>
        </a:p>
        <a:p>
          <a:pPr algn="l"/>
          <a:r>
            <a:rPr lang="es-ES" sz="1100" b="0">
              <a:solidFill>
                <a:schemeClr val="tx1"/>
              </a:solidFill>
            </a:rPr>
            <a:t>• Furniture shows structural inefficiency despite strong revenue.</a:t>
          </a:r>
        </a:p>
        <a:p>
          <a:pPr algn="l"/>
          <a:r>
            <a:rPr lang="es-ES" sz="1100" b="0">
              <a:solidFill>
                <a:schemeClr val="tx1"/>
              </a:solidFill>
            </a:rPr>
            <a:t>• Discounting above mid levels significantly erodes margins.</a:t>
          </a:r>
        </a:p>
        <a:p>
          <a:pPr algn="l"/>
          <a:r>
            <a:rPr lang="es-ES" sz="1100" b="0">
              <a:solidFill>
                <a:schemeClr val="tx1"/>
              </a:solidFill>
            </a:rPr>
            <a:t>• Profitability varies significantly across regions.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0">
              <a:solidFill>
                <a:schemeClr val="tx1"/>
              </a:solidFill>
              <a:latin typeface="+mn-lt"/>
              <a:ea typeface="+mn-ea"/>
              <a:cs typeface="+mn-cs"/>
            </a:rPr>
            <a:t>• Copies generate the highest profit of all subcategory items, whilst tables generate the most losses.</a:t>
          </a:r>
          <a:endParaRPr lang="es-ES" sz="1100" b="0">
            <a:solidFill>
              <a:schemeClr val="tx1"/>
            </a:solidFill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5" xr16:uid="{06051F47-1FB0-4E8C-B5E1-760DF3C30255}" autoFormatId="16" applyNumberFormats="0" applyBorderFormats="0" applyFontFormats="0" applyPatternFormats="0" applyAlignmentFormats="0" applyWidthHeightFormats="0">
  <queryTableRefresh nextId="6" unboundColumnsRight="2">
    <queryTableFields count="3">
      <queryTableField id="1" name="Category" tableColumnId="1"/>
      <queryTableField id="4" dataBound="0" tableColumnId="4"/>
      <queryTableField id="5" dataBound="0" tableColumnId="5"/>
    </queryTableFields>
    <queryTableDeletedFields count="2">
      <deletedField name="Sales"/>
      <deletedField name="Profi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D28286A-D5E2-4494-B496-FBFCD54CF18D}" autoFormatId="16" applyNumberFormats="0" applyBorderFormats="0" applyFontFormats="0" applyPatternFormats="0" applyAlignmentFormats="0" applyWidthHeightFormats="0">
  <queryTableRefresh nextId="4">
    <queryTableFields count="3">
      <queryTableField id="1" name="Sub-Category" tableColumnId="1"/>
      <queryTableField id="2" name="Sales" tableColumnId="2"/>
      <queryTableField id="3" name="Profit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AB1B6C4-E244-42E6-B351-E1C1FC4443B3}" autoFormatId="16" applyNumberFormats="0" applyBorderFormats="0" applyFontFormats="0" applyPatternFormats="0" applyAlignmentFormats="0" applyWidthHeightFormats="0">
  <queryTableRefresh nextId="4">
    <queryTableFields count="3">
      <queryTableField id="1" name="Discount" tableColumnId="1"/>
      <queryTableField id="2" name="Orders" tableColumnId="2"/>
      <queryTableField id="3" name="Profi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286E4ED3-19A1-4A39-8511-78E83754B832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Sales" tableColumnId="2"/>
      <queryTableField id="3" name="Profi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BA909FE2-2928-4A5F-9501-F3303B48967E}" autoFormatId="16" applyNumberFormats="0" applyBorderFormats="0" applyFontFormats="0" applyPatternFormats="0" applyAlignmentFormats="0" applyWidthHeightFormats="0">
  <queryTableRefresh nextId="5">
    <queryTableFields count="4">
      <queryTableField id="1" name="City" tableColumnId="1"/>
      <queryTableField id="2" name="ProductName" tableColumnId="2"/>
      <queryTableField id="3" name="Sales" tableColumnId="3"/>
      <queryTableField id="4" name="Profit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46ED98-4D47-4CCD-94A5-9ACCDF7DCABD}" name="Tabla2" displayName="Tabla2" ref="A1:D2" totalsRowShown="0">
  <autoFilter ref="A1:D2" xr:uid="{1346ED98-4D47-4CCD-94A5-9ACCDF7DCABD}"/>
  <tableColumns count="4">
    <tableColumn id="1" xr3:uid="{3919516A-EBE6-46FA-B2C9-A55575188BC7}" name="Total Sales" dataDxfId="18"/>
    <tableColumn id="2" xr3:uid="{DFE91ED3-D427-4BA3-BB1A-B7353DF10E43}" name="Total Profit"/>
    <tableColumn id="3" xr3:uid="{7E78D250-18BC-4AC1-9356-ACF374FDEFED}" name="Orders" dataDxfId="17"/>
    <tableColumn id="4" xr3:uid="{761F9D1C-456C-4FAE-9D24-25A5F38D19C5}" name="Profit Margin" dataDxfId="16">
      <calculatedColumnFormula>B2/A2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2EB1B22-85EC-443E-AB97-05E24E254253}" name="ProfitCategory__2" displayName="ProfitCategory__2" ref="A1:C4" tableType="queryTable" totalsRowShown="0">
  <autoFilter ref="A1:C4" xr:uid="{42EB1B22-85EC-443E-AB97-05E24E254253}"/>
  <tableColumns count="3">
    <tableColumn id="1" xr3:uid="{296763EB-B50D-4621-8C73-4EE760B0DA11}" uniqueName="1" name="Category" queryTableFieldId="1" dataDxfId="15"/>
    <tableColumn id="4" xr3:uid="{EE7DE7E5-AF70-4FF8-A1E2-C3555CAC0070}" uniqueName="4" name="Sales" queryTableFieldId="4"/>
    <tableColumn id="5" xr3:uid="{BB9FACC0-8309-4B2C-A565-E928F96A7B48}" uniqueName="5" name="Profit" queryTableFieldId="5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97222B-B25A-43EE-BAB8-B583E4DA9F91}" name="MargenProfit" displayName="MargenProfit" ref="A1:C18" tableType="queryTable" totalsRowShown="0">
  <autoFilter ref="A1:C18" xr:uid="{BE97222B-B25A-43EE-BAB8-B583E4DA9F91}"/>
  <sortState xmlns:xlrd2="http://schemas.microsoft.com/office/spreadsheetml/2017/richdata2" ref="A2:C18">
    <sortCondition descending="1" ref="C2:C18"/>
  </sortState>
  <tableColumns count="3">
    <tableColumn id="1" xr3:uid="{70C36049-A8E1-4AC4-BEE2-ADBE6F024EA6}" uniqueName="1" name="Sub-Category" queryTableFieldId="1" dataDxfId="14"/>
    <tableColumn id="2" xr3:uid="{182AA30D-64C4-433A-AAF7-82FC9B8BD436}" uniqueName="2" name="Sales" queryTableFieldId="2"/>
    <tableColumn id="3" xr3:uid="{FD7EF592-87A1-4525-9773-A9293C5442B0}" uniqueName="3" name="Profit" queryTableFieldId="3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E43F00-DEB7-40A1-82A4-A246279952FC}" name="Discount" displayName="Discount" ref="A1:C13" tableType="queryTable" totalsRowShown="0">
  <autoFilter ref="A1:C13" xr:uid="{C2E43F00-DEB7-40A1-82A4-A246279952FC}"/>
  <tableColumns count="3">
    <tableColumn id="1" xr3:uid="{5A8A198E-42D5-428C-9701-45A734CA7D67}" uniqueName="1" name="Discount" queryTableFieldId="1"/>
    <tableColumn id="2" xr3:uid="{330669A5-B5BC-47EC-80CD-0733D60144B5}" uniqueName="2" name="Orders" queryTableFieldId="2"/>
    <tableColumn id="3" xr3:uid="{34D9B8C3-4F84-4C11-BA80-77438F60B8D7}" uniqueName="3" name="Profit" queryTableFieldId="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5B74CB3-DFC2-454D-A18C-D04F99DADE41}" name="Regiones" displayName="Regiones" ref="A1:C5" tableType="queryTable" totalsRowShown="0">
  <autoFilter ref="A1:C5" xr:uid="{45B74CB3-DFC2-454D-A18C-D04F99DADE41}"/>
  <sortState xmlns:xlrd2="http://schemas.microsoft.com/office/spreadsheetml/2017/richdata2" ref="A2:C5">
    <sortCondition ref="C1:C5"/>
  </sortState>
  <tableColumns count="3">
    <tableColumn id="1" xr3:uid="{EF39D273-15CF-416D-A98E-52A5FC69E2D3}" uniqueName="1" name="Region" queryTableFieldId="1" dataDxfId="13"/>
    <tableColumn id="2" xr3:uid="{3CAF9C55-2232-4708-9B15-603EA8E3BC2B}" uniqueName="2" name="Sales" queryTableFieldId="2"/>
    <tableColumn id="3" xr3:uid="{82EF2BF4-D31B-4625-8BD7-80E687585786}" uniqueName="3" name="Profit" queryTableFieldId="3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7402DB4-1ACC-4476-8B54-1340F104CF39}" name="ProductoCiudad" displayName="ProductoCiudad" ref="A1:D1850" tableType="queryTable" totalsRowShown="0">
  <autoFilter ref="A1:D1850" xr:uid="{57402DB4-1ACC-4476-8B54-1340F104CF39}"/>
  <sortState xmlns:xlrd2="http://schemas.microsoft.com/office/spreadsheetml/2017/richdata2" ref="A2:D1850">
    <sortCondition ref="A1:A1850"/>
  </sortState>
  <tableColumns count="4">
    <tableColumn id="1" xr3:uid="{E6B29948-A370-44EC-9684-26A8938AAA69}" uniqueName="1" name="City" queryTableFieldId="1" dataDxfId="12"/>
    <tableColumn id="2" xr3:uid="{C7FA69A1-7E1A-4FA5-9B7F-9F526CC69E48}" uniqueName="2" name="ProductName" queryTableFieldId="2" dataDxfId="11"/>
    <tableColumn id="3" xr3:uid="{60035554-EE8D-41B3-821B-7DBC6EDBA756}" uniqueName="3" name="Sales" queryTableFieldId="3"/>
    <tableColumn id="4" xr3:uid="{E9C6E647-1CEF-4181-AC86-501452DECF7C}" uniqueName="4" name="Profit" queryTableFieldId="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DA6797-88F6-4695-A53C-3B8E3E829708}" name="Tabla4" displayName="Tabla4" ref="A1:F6" totalsRowShown="0">
  <autoFilter ref="A1:F6" xr:uid="{5CDA6797-88F6-4695-A53C-3B8E3E829708}"/>
  <tableColumns count="6">
    <tableColumn id="1" xr3:uid="{FACF5C48-7E21-42C1-9F8E-8949094E66E7}" name="Año"/>
    <tableColumn id="2" xr3:uid="{1A1CA160-5C2F-4AC2-AD09-22197081C1EC}" name="Fecha" dataDxfId="10"/>
    <tableColumn id="3" xr3:uid="{6EB01A10-68FC-40D8-860A-A564D088B9CC}" name="Categoría"/>
    <tableColumn id="4" xr3:uid="{DF96A2C0-F35B-4B30-8347-29ABB0EFBC60}" name="Transacción/Descripción"/>
    <tableColumn id="5" xr3:uid="{57496F3D-FA72-428F-A966-3341C99AFC74}" name="Tipo"/>
    <tableColumn id="6" xr3:uid="{B39E7631-A4F7-4E98-A23E-9508C82B66DC}" name="Monto ($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AFD870-F27F-4DD9-8434-F9A2F1BAA849}" name="Tabla47" displayName="Tabla47" ref="A1:F6" totalsRowShown="0">
  <autoFilter ref="A1:F6" xr:uid="{05AFD870-F27F-4DD9-8434-F9A2F1BAA849}"/>
  <tableColumns count="6">
    <tableColumn id="1" xr3:uid="{B5B6210A-3089-45B7-BA73-DA57832A6074}" name="Año"/>
    <tableColumn id="2" xr3:uid="{79B0E1D5-3978-4D58-B8AB-6F313805F8B0}" name="Fecha" dataDxfId="9"/>
    <tableColumn id="3" xr3:uid="{0FAE0964-AD4F-41B6-8C1B-DA98A6D3A4BF}" name="Categoría"/>
    <tableColumn id="4" xr3:uid="{40339B39-0FFB-446F-9009-3807BA138F91}" name="Transacción/Descripción"/>
    <tableColumn id="5" xr3:uid="{BB5FC6B8-9826-4663-8B9C-E695C2D02527}" name="Tipo"/>
    <tableColumn id="6" xr3:uid="{DE626333-D72B-487A-920D-F7FCFCA7079D}" name="Monto ($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7E73A8-7D17-4C0D-8D83-174BF0EB4142}" name="Tabla413" displayName="Tabla413" ref="A1:F6" totalsRowShown="0">
  <autoFilter ref="A1:F6" xr:uid="{AA7E73A8-7D17-4C0D-8D83-174BF0EB4142}"/>
  <tableColumns count="6">
    <tableColumn id="1" xr3:uid="{15ABD876-1714-4FD3-9FAD-3C394439FA9A}" name="Año"/>
    <tableColumn id="2" xr3:uid="{081A05E0-987C-49DE-A343-6AA59AC72764}" name="Fecha" dataDxfId="8"/>
    <tableColumn id="3" xr3:uid="{7ADEC0DF-23EC-4487-9618-B7C7C72951AE}" name="Categoría"/>
    <tableColumn id="4" xr3:uid="{985EF162-E33C-4002-8196-4A3F9922ED5E}" name="Transacción/Descripción"/>
    <tableColumn id="5" xr3:uid="{DAF370F8-66F8-4D8D-B643-8F0E8EC7E34D}" name="Tipo"/>
    <tableColumn id="6" xr3:uid="{E067225A-EC82-4424-9C94-9E8C45A8A94B}" name="Monto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C0CE-1D3B-4788-AEF2-83855E2F662B}">
  <dimension ref="A1:D2"/>
  <sheetViews>
    <sheetView showGridLines="0" showRowColHeaders="0" workbookViewId="0">
      <selection activeCell="E7" sqref="E7"/>
    </sheetView>
  </sheetViews>
  <sheetFormatPr baseColWidth="10" defaultRowHeight="14.4" x14ac:dyDescent="0.3"/>
  <cols>
    <col min="1" max="1" width="12.109375" bestFit="1" customWidth="1"/>
    <col min="2" max="2" width="12.5546875" bestFit="1" customWidth="1"/>
    <col min="3" max="3" width="8.77734375" bestFit="1" customWidth="1"/>
    <col min="4" max="4" width="14.33203125" bestFit="1" customWidth="1"/>
  </cols>
  <sheetData>
    <row r="1" spans="1:4" x14ac:dyDescent="0.3">
      <c r="A1" t="s">
        <v>1</v>
      </c>
      <c r="B1" t="s">
        <v>2</v>
      </c>
      <c r="C1" t="s">
        <v>0</v>
      </c>
      <c r="D1" t="s">
        <v>2218</v>
      </c>
    </row>
    <row r="2" spans="1:4" x14ac:dyDescent="0.3">
      <c r="A2" s="17">
        <v>2326534.35</v>
      </c>
      <c r="B2">
        <v>292296.81</v>
      </c>
      <c r="C2" s="1">
        <v>10194</v>
      </c>
      <c r="D2" s="18">
        <f>B2/A2</f>
        <v>0.12563614631350703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5DE6-E180-42A2-9973-08D8A5EE5D8E}">
  <dimension ref="A1:C4"/>
  <sheetViews>
    <sheetView showGridLines="0" showRowColHeaders="0" workbookViewId="0">
      <selection activeCell="F26" sqref="F26"/>
    </sheetView>
  </sheetViews>
  <sheetFormatPr baseColWidth="10" defaultRowHeight="14.4" x14ac:dyDescent="0.3"/>
  <cols>
    <col min="1" max="1" width="13" bestFit="1" customWidth="1"/>
    <col min="2" max="3" width="10" bestFit="1" customWidth="1"/>
  </cols>
  <sheetData>
    <row r="1" spans="1:3" x14ac:dyDescent="0.3">
      <c r="A1" t="s">
        <v>3</v>
      </c>
      <c r="B1" t="s">
        <v>4</v>
      </c>
      <c r="C1" t="s">
        <v>5</v>
      </c>
    </row>
    <row r="2" spans="1:3" x14ac:dyDescent="0.3">
      <c r="A2" t="s">
        <v>6</v>
      </c>
      <c r="B2">
        <v>839893.28</v>
      </c>
      <c r="C2">
        <v>146543.38</v>
      </c>
    </row>
    <row r="3" spans="1:3" x14ac:dyDescent="0.3">
      <c r="A3" t="s">
        <v>7</v>
      </c>
      <c r="B3">
        <v>731893.31</v>
      </c>
      <c r="C3">
        <v>126023.44</v>
      </c>
    </row>
    <row r="4" spans="1:3" x14ac:dyDescent="0.3">
      <c r="A4" t="s">
        <v>8</v>
      </c>
      <c r="B4">
        <v>754747.76</v>
      </c>
      <c r="C4">
        <v>19730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479B-91CF-4655-BBB0-220C0CE58297}">
  <dimension ref="A1:C18"/>
  <sheetViews>
    <sheetView showGridLines="0" showRowColHeaders="0" workbookViewId="0">
      <selection activeCell="C4" sqref="C4"/>
    </sheetView>
  </sheetViews>
  <sheetFormatPr baseColWidth="10" defaultRowHeight="14.4" x14ac:dyDescent="0.3"/>
  <cols>
    <col min="1" max="1" width="14.6640625" bestFit="1" customWidth="1"/>
    <col min="2" max="2" width="10" bestFit="1" customWidth="1"/>
    <col min="3" max="3" width="9.6640625" bestFit="1" customWidth="1"/>
  </cols>
  <sheetData>
    <row r="1" spans="1:3" x14ac:dyDescent="0.3">
      <c r="A1" t="s">
        <v>9</v>
      </c>
      <c r="B1" t="s">
        <v>4</v>
      </c>
      <c r="C1" t="s">
        <v>5</v>
      </c>
    </row>
    <row r="2" spans="1:3" x14ac:dyDescent="0.3">
      <c r="A2" t="s">
        <v>26</v>
      </c>
      <c r="B2">
        <v>150745.29</v>
      </c>
      <c r="C2">
        <v>56093.94</v>
      </c>
    </row>
    <row r="3" spans="1:3" x14ac:dyDescent="0.3">
      <c r="A3" t="s">
        <v>25</v>
      </c>
      <c r="B3">
        <v>331842.64</v>
      </c>
      <c r="C3">
        <v>45050.83</v>
      </c>
    </row>
    <row r="4" spans="1:3" x14ac:dyDescent="0.3">
      <c r="A4" t="s">
        <v>24</v>
      </c>
      <c r="B4">
        <v>167380.32</v>
      </c>
      <c r="C4">
        <v>41936.639999999999</v>
      </c>
    </row>
    <row r="5" spans="1:3" x14ac:dyDescent="0.3">
      <c r="A5" t="s">
        <v>23</v>
      </c>
      <c r="B5">
        <v>79540.539999999994</v>
      </c>
      <c r="C5">
        <v>34511.51</v>
      </c>
    </row>
    <row r="6" spans="1:3" x14ac:dyDescent="0.3">
      <c r="A6" t="s">
        <v>22</v>
      </c>
      <c r="B6">
        <v>207354.88</v>
      </c>
      <c r="C6">
        <v>31426.1</v>
      </c>
    </row>
    <row r="7" spans="1:3" x14ac:dyDescent="0.3">
      <c r="A7" t="s">
        <v>21</v>
      </c>
      <c r="B7">
        <v>335768.25</v>
      </c>
      <c r="C7">
        <v>27223.53</v>
      </c>
    </row>
    <row r="8" spans="1:3" x14ac:dyDescent="0.3">
      <c r="A8" t="s">
        <v>20</v>
      </c>
      <c r="B8">
        <v>224644.55</v>
      </c>
      <c r="C8">
        <v>21285.11</v>
      </c>
    </row>
    <row r="9" spans="1:3" x14ac:dyDescent="0.3">
      <c r="A9" t="s">
        <v>19</v>
      </c>
      <c r="B9">
        <v>108213.18</v>
      </c>
      <c r="C9" s="3">
        <v>18329.48</v>
      </c>
    </row>
    <row r="10" spans="1:3" x14ac:dyDescent="0.3">
      <c r="A10" t="s">
        <v>18</v>
      </c>
      <c r="B10">
        <v>95598.13</v>
      </c>
      <c r="C10" s="3">
        <v>13891.74</v>
      </c>
    </row>
    <row r="11" spans="1:3" x14ac:dyDescent="0.3">
      <c r="A11" t="s">
        <v>17</v>
      </c>
      <c r="B11">
        <v>16528.36</v>
      </c>
      <c r="C11" s="3">
        <v>6988.02</v>
      </c>
    </row>
    <row r="12" spans="1:3" x14ac:dyDescent="0.3">
      <c r="A12" t="s">
        <v>16</v>
      </c>
      <c r="B12">
        <v>27659.01</v>
      </c>
      <c r="C12" s="3">
        <v>6653.2</v>
      </c>
    </row>
    <row r="13" spans="1:3" x14ac:dyDescent="0.3">
      <c r="A13" t="s">
        <v>15</v>
      </c>
      <c r="B13">
        <v>12695.04</v>
      </c>
      <c r="C13" s="3">
        <v>5572.78</v>
      </c>
    </row>
    <row r="14" spans="1:3" x14ac:dyDescent="0.3">
      <c r="A14" t="s">
        <v>14</v>
      </c>
      <c r="B14">
        <v>189925.03</v>
      </c>
      <c r="C14" s="3">
        <v>3461.98</v>
      </c>
    </row>
    <row r="15" spans="1:3" x14ac:dyDescent="0.3">
      <c r="A15" t="s">
        <v>13</v>
      </c>
      <c r="B15">
        <v>8532.24</v>
      </c>
      <c r="C15" s="3">
        <v>2428.64</v>
      </c>
    </row>
    <row r="16" spans="1:3" x14ac:dyDescent="0.3">
      <c r="A16" t="s">
        <v>12</v>
      </c>
      <c r="B16">
        <v>46725.5</v>
      </c>
      <c r="C16" s="2">
        <v>-1171.3900000000001</v>
      </c>
    </row>
    <row r="17" spans="1:3" x14ac:dyDescent="0.3">
      <c r="A17" t="s">
        <v>11</v>
      </c>
      <c r="B17">
        <v>115361.2</v>
      </c>
      <c r="C17" s="2">
        <v>-3632.07</v>
      </c>
    </row>
    <row r="18" spans="1:3" x14ac:dyDescent="0.3">
      <c r="A18" t="s">
        <v>10</v>
      </c>
      <c r="B18">
        <v>208020.18</v>
      </c>
      <c r="C18" s="2">
        <v>-17753.21</v>
      </c>
    </row>
  </sheetData>
  <conditionalFormatting sqref="C2:C1048576">
    <cfRule type="cellIs" dxfId="7" priority="1" operator="greaterThan">
      <formula>0</formula>
    </cfRule>
    <cfRule type="cellIs" dxfId="6" priority="2" operator="lessThan">
      <formula>0</formula>
    </cfRule>
    <cfRule type="cellIs" dxfId="5" priority="3" operator="lessThan">
      <formula>0</formula>
    </cfRule>
    <cfRule type="cellIs" dxfId="4" priority="4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DB41-36BA-47E5-933E-67993114E11E}">
  <dimension ref="A1:C13"/>
  <sheetViews>
    <sheetView showGridLines="0" showRowColHeaders="0" workbookViewId="0">
      <selection activeCell="O18" sqref="O18"/>
    </sheetView>
  </sheetViews>
  <sheetFormatPr baseColWidth="10" defaultRowHeight="14.4" x14ac:dyDescent="0.3"/>
  <cols>
    <col min="1" max="1" width="10.5546875" bestFit="1" customWidth="1"/>
    <col min="2" max="2" width="8.77734375" bestFit="1" customWidth="1"/>
    <col min="3" max="3" width="7.88671875" bestFit="1" customWidth="1"/>
  </cols>
  <sheetData>
    <row r="1" spans="1:3" x14ac:dyDescent="0.3">
      <c r="A1" t="s">
        <v>27</v>
      </c>
      <c r="B1" t="s">
        <v>0</v>
      </c>
      <c r="C1" t="s">
        <v>5</v>
      </c>
    </row>
    <row r="2" spans="1:3" x14ac:dyDescent="0.3">
      <c r="A2">
        <v>0</v>
      </c>
      <c r="B2">
        <v>4925</v>
      </c>
      <c r="C2">
        <v>66.34</v>
      </c>
    </row>
    <row r="3" spans="1:3" x14ac:dyDescent="0.3">
      <c r="A3">
        <v>0.1</v>
      </c>
      <c r="B3">
        <v>96</v>
      </c>
      <c r="C3">
        <v>94.79</v>
      </c>
    </row>
    <row r="4" spans="1:3" x14ac:dyDescent="0.3">
      <c r="A4">
        <v>0.15</v>
      </c>
      <c r="B4">
        <v>52</v>
      </c>
      <c r="C4">
        <v>27.29</v>
      </c>
    </row>
    <row r="5" spans="1:3" x14ac:dyDescent="0.3">
      <c r="A5">
        <v>0.2</v>
      </c>
      <c r="B5">
        <v>3706</v>
      </c>
      <c r="C5">
        <v>24.58</v>
      </c>
    </row>
    <row r="6" spans="1:3" x14ac:dyDescent="0.3">
      <c r="A6">
        <v>0.3</v>
      </c>
      <c r="B6">
        <v>230</v>
      </c>
      <c r="C6">
        <v>-45.71</v>
      </c>
    </row>
    <row r="7" spans="1:3" x14ac:dyDescent="0.3">
      <c r="A7">
        <v>0.32</v>
      </c>
      <c r="B7">
        <v>27</v>
      </c>
      <c r="C7">
        <v>-88.56</v>
      </c>
    </row>
    <row r="8" spans="1:3" x14ac:dyDescent="0.3">
      <c r="A8">
        <v>0.4</v>
      </c>
      <c r="B8">
        <v>207</v>
      </c>
      <c r="C8">
        <v>-111.53</v>
      </c>
    </row>
    <row r="9" spans="1:3" x14ac:dyDescent="0.3">
      <c r="A9">
        <v>0.45</v>
      </c>
      <c r="B9">
        <v>11</v>
      </c>
      <c r="C9">
        <v>-226.65</v>
      </c>
    </row>
    <row r="10" spans="1:3" x14ac:dyDescent="0.3">
      <c r="A10">
        <v>0.5</v>
      </c>
      <c r="B10">
        <v>66</v>
      </c>
      <c r="C10">
        <v>-310.7</v>
      </c>
    </row>
    <row r="11" spans="1:3" x14ac:dyDescent="0.3">
      <c r="A11">
        <v>0.6</v>
      </c>
      <c r="B11">
        <v>149</v>
      </c>
      <c r="C11">
        <v>-41.37</v>
      </c>
    </row>
    <row r="12" spans="1:3" x14ac:dyDescent="0.3">
      <c r="A12">
        <v>0.7</v>
      </c>
      <c r="B12">
        <v>424</v>
      </c>
      <c r="C12">
        <v>-95.05</v>
      </c>
    </row>
    <row r="13" spans="1:3" x14ac:dyDescent="0.3">
      <c r="A13">
        <v>0.8</v>
      </c>
      <c r="B13">
        <v>301</v>
      </c>
      <c r="C13">
        <v>-101.55</v>
      </c>
    </row>
  </sheetData>
  <conditionalFormatting sqref="C2:C13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A2EB-34A1-444D-928D-E983369AD089}">
  <dimension ref="A1:C5"/>
  <sheetViews>
    <sheetView showGridLines="0" showRowColHeaders="0" workbookViewId="0">
      <selection activeCell="N20" sqref="N20"/>
    </sheetView>
  </sheetViews>
  <sheetFormatPr baseColWidth="10" defaultRowHeight="14.4" x14ac:dyDescent="0.3"/>
  <cols>
    <col min="1" max="1" width="9" bestFit="1" customWidth="1"/>
    <col min="2" max="3" width="10" bestFit="1" customWidth="1"/>
  </cols>
  <sheetData>
    <row r="1" spans="1:3" x14ac:dyDescent="0.3">
      <c r="A1" t="s">
        <v>28</v>
      </c>
      <c r="B1" t="s">
        <v>4</v>
      </c>
      <c r="C1" t="s">
        <v>5</v>
      </c>
    </row>
    <row r="2" spans="1:3" x14ac:dyDescent="0.3">
      <c r="A2" t="s">
        <v>29</v>
      </c>
      <c r="B2">
        <v>503170.67</v>
      </c>
      <c r="C2">
        <v>39865.31</v>
      </c>
    </row>
    <row r="3" spans="1:3" x14ac:dyDescent="0.3">
      <c r="A3" t="s">
        <v>30</v>
      </c>
      <c r="B3">
        <v>391721.91</v>
      </c>
      <c r="C3">
        <v>46749.43</v>
      </c>
    </row>
    <row r="4" spans="1:3" x14ac:dyDescent="0.3">
      <c r="A4" t="s">
        <v>31</v>
      </c>
      <c r="B4">
        <v>691828.17</v>
      </c>
      <c r="C4">
        <v>94883.26</v>
      </c>
    </row>
    <row r="5" spans="1:3" x14ac:dyDescent="0.3">
      <c r="A5" t="s">
        <v>32</v>
      </c>
      <c r="B5">
        <v>739813.61</v>
      </c>
      <c r="C5">
        <v>110798.82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722E0-3621-4BFF-A4AD-6FA64FFC8FEA}">
  <sheetPr>
    <pageSetUpPr fitToPage="1"/>
  </sheetPr>
  <dimension ref="A1:P7"/>
  <sheetViews>
    <sheetView showGridLines="0" showRowColHeaders="0" tabSelected="1" topLeftCell="B1" zoomScaleNormal="100" workbookViewId="0">
      <selection activeCell="R14" sqref="R14"/>
    </sheetView>
  </sheetViews>
  <sheetFormatPr baseColWidth="10" defaultRowHeight="14.4" x14ac:dyDescent="0.3"/>
  <cols>
    <col min="1" max="1" width="32.109375" bestFit="1" customWidth="1"/>
  </cols>
  <sheetData>
    <row r="1" spans="1:16" x14ac:dyDescent="0.3">
      <c r="A1" s="40" t="s">
        <v>2196</v>
      </c>
      <c r="B1" s="41"/>
      <c r="C1" s="41"/>
      <c r="D1" s="41"/>
      <c r="E1" s="41"/>
      <c r="F1" s="41"/>
      <c r="G1" s="41"/>
      <c r="H1" s="41"/>
      <c r="I1" s="41"/>
      <c r="J1" s="41"/>
    </row>
    <row r="2" spans="1:16" x14ac:dyDescent="0.3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16" ht="15" thickBot="1" x14ac:dyDescent="0.35"/>
    <row r="4" spans="1:16" x14ac:dyDescent="0.3">
      <c r="B4" s="28" t="s">
        <v>1</v>
      </c>
      <c r="C4" s="29"/>
      <c r="D4" s="30"/>
      <c r="F4" s="28" t="s">
        <v>2</v>
      </c>
      <c r="G4" s="29"/>
      <c r="H4" s="30"/>
      <c r="J4" s="28" t="s">
        <v>2217</v>
      </c>
      <c r="K4" s="29"/>
      <c r="L4" s="30"/>
      <c r="N4" s="28" t="s">
        <v>2218</v>
      </c>
      <c r="O4" s="29"/>
      <c r="P4" s="30"/>
    </row>
    <row r="5" spans="1:16" ht="14.4" customHeight="1" x14ac:dyDescent="0.3">
      <c r="B5" s="19">
        <f>'01_Executive_Summary'!A2</f>
        <v>2326534.35</v>
      </c>
      <c r="C5" s="20"/>
      <c r="D5" s="21"/>
      <c r="F5" s="19">
        <f>'01_Executive_Summary'!B2</f>
        <v>292296.81</v>
      </c>
      <c r="G5" s="20"/>
      <c r="H5" s="21"/>
      <c r="J5" s="19">
        <f>'01_Executive_Summary'!C2</f>
        <v>10194</v>
      </c>
      <c r="K5" s="20"/>
      <c r="L5" s="21"/>
      <c r="N5" s="31">
        <f>'01_Executive_Summary'!D2</f>
        <v>0.12563614631350703</v>
      </c>
      <c r="O5" s="32"/>
      <c r="P5" s="33"/>
    </row>
    <row r="6" spans="1:16" ht="14.4" customHeight="1" x14ac:dyDescent="0.3">
      <c r="B6" s="22"/>
      <c r="C6" s="23"/>
      <c r="D6" s="24"/>
      <c r="F6" s="22"/>
      <c r="G6" s="23"/>
      <c r="H6" s="24"/>
      <c r="J6" s="22"/>
      <c r="K6" s="23"/>
      <c r="L6" s="24"/>
      <c r="N6" s="34"/>
      <c r="O6" s="35"/>
      <c r="P6" s="36"/>
    </row>
    <row r="7" spans="1:16" ht="15" customHeight="1" thickBot="1" x14ac:dyDescent="0.35">
      <c r="B7" s="25"/>
      <c r="C7" s="26"/>
      <c r="D7" s="27"/>
      <c r="F7" s="25"/>
      <c r="G7" s="26"/>
      <c r="H7" s="27"/>
      <c r="J7" s="25"/>
      <c r="K7" s="26"/>
      <c r="L7" s="27"/>
      <c r="N7" s="37"/>
      <c r="O7" s="38"/>
      <c r="P7" s="39"/>
    </row>
  </sheetData>
  <mergeCells count="9">
    <mergeCell ref="A1:J2"/>
    <mergeCell ref="B5:D7"/>
    <mergeCell ref="B4:D4"/>
    <mergeCell ref="N4:P4"/>
    <mergeCell ref="N5:P7"/>
    <mergeCell ref="J5:L7"/>
    <mergeCell ref="J4:L4"/>
    <mergeCell ref="F5:H7"/>
    <mergeCell ref="F4:H4"/>
  </mergeCells>
  <pageMargins left="0.7" right="0.7" top="0.75" bottom="0.75" header="0.3" footer="0.3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9FC47-8767-4E05-B62E-5BB5B0404F09}">
  <dimension ref="A1:D1850"/>
  <sheetViews>
    <sheetView workbookViewId="0"/>
  </sheetViews>
  <sheetFormatPr baseColWidth="10" defaultRowHeight="14.4" x14ac:dyDescent="0.3"/>
  <cols>
    <col min="1" max="1" width="17.21875" bestFit="1" customWidth="1"/>
    <col min="2" max="2" width="80.88671875" bestFit="1" customWidth="1"/>
    <col min="3" max="4" width="9" bestFit="1" customWidth="1"/>
  </cols>
  <sheetData>
    <row r="1" spans="1:4" x14ac:dyDescent="0.3">
      <c r="A1" t="s">
        <v>33</v>
      </c>
      <c r="B1" t="s">
        <v>34</v>
      </c>
      <c r="C1" t="s">
        <v>4</v>
      </c>
      <c r="D1" t="s">
        <v>5</v>
      </c>
    </row>
    <row r="2" spans="1:4" x14ac:dyDescent="0.3">
      <c r="A2" t="s">
        <v>211</v>
      </c>
      <c r="B2" t="s">
        <v>212</v>
      </c>
      <c r="C2">
        <v>3815.79</v>
      </c>
      <c r="D2">
        <v>710.96</v>
      </c>
    </row>
    <row r="3" spans="1:4" x14ac:dyDescent="0.3">
      <c r="A3" t="s">
        <v>211</v>
      </c>
      <c r="B3" t="s">
        <v>419</v>
      </c>
      <c r="C3">
        <v>1579.37</v>
      </c>
      <c r="D3">
        <v>318.36</v>
      </c>
    </row>
    <row r="4" spans="1:4" x14ac:dyDescent="0.3">
      <c r="A4" t="s">
        <v>211</v>
      </c>
      <c r="B4" t="s">
        <v>1205</v>
      </c>
      <c r="C4">
        <v>114.54</v>
      </c>
      <c r="D4">
        <v>43.43</v>
      </c>
    </row>
    <row r="5" spans="1:4" x14ac:dyDescent="0.3">
      <c r="A5" t="s">
        <v>211</v>
      </c>
      <c r="B5" t="s">
        <v>1854</v>
      </c>
      <c r="C5">
        <v>38.92</v>
      </c>
      <c r="D5">
        <v>1.02</v>
      </c>
    </row>
    <row r="6" spans="1:4" x14ac:dyDescent="0.3">
      <c r="A6" t="s">
        <v>404</v>
      </c>
      <c r="B6" t="s">
        <v>405</v>
      </c>
      <c r="C6">
        <v>1738.66</v>
      </c>
      <c r="D6">
        <v>340.17</v>
      </c>
    </row>
    <row r="7" spans="1:4" x14ac:dyDescent="0.3">
      <c r="A7" t="s">
        <v>404</v>
      </c>
      <c r="B7" t="s">
        <v>619</v>
      </c>
      <c r="C7">
        <v>431.29</v>
      </c>
      <c r="D7">
        <v>165.21</v>
      </c>
    </row>
    <row r="8" spans="1:4" x14ac:dyDescent="0.3">
      <c r="A8" t="s">
        <v>404</v>
      </c>
      <c r="B8" t="s">
        <v>2000</v>
      </c>
      <c r="C8">
        <v>257.74</v>
      </c>
      <c r="D8">
        <v>-38.96</v>
      </c>
    </row>
    <row r="9" spans="1:4" x14ac:dyDescent="0.3">
      <c r="A9" t="s">
        <v>230</v>
      </c>
      <c r="B9" t="s">
        <v>231</v>
      </c>
      <c r="C9">
        <v>3158.06</v>
      </c>
      <c r="D9">
        <v>654.16999999999996</v>
      </c>
    </row>
    <row r="10" spans="1:4" x14ac:dyDescent="0.3">
      <c r="A10" t="s">
        <v>230</v>
      </c>
      <c r="B10" t="s">
        <v>704</v>
      </c>
      <c r="C10">
        <v>281.89</v>
      </c>
      <c r="D10">
        <v>127.6</v>
      </c>
    </row>
    <row r="11" spans="1:4" x14ac:dyDescent="0.3">
      <c r="A11" t="s">
        <v>230</v>
      </c>
      <c r="B11" t="s">
        <v>1177</v>
      </c>
      <c r="C11">
        <v>110.16</v>
      </c>
      <c r="D11">
        <v>46.14</v>
      </c>
    </row>
    <row r="12" spans="1:4" x14ac:dyDescent="0.3">
      <c r="A12" t="s">
        <v>230</v>
      </c>
      <c r="B12" t="s">
        <v>1342</v>
      </c>
      <c r="C12">
        <v>120.7</v>
      </c>
      <c r="D12">
        <v>32.799999999999997</v>
      </c>
    </row>
    <row r="13" spans="1:4" x14ac:dyDescent="0.3">
      <c r="A13" t="s">
        <v>230</v>
      </c>
      <c r="B13" t="s">
        <v>1579</v>
      </c>
      <c r="C13">
        <v>48.85</v>
      </c>
      <c r="D13">
        <v>17.059999999999999</v>
      </c>
    </row>
    <row r="14" spans="1:4" x14ac:dyDescent="0.3">
      <c r="A14" t="s">
        <v>230</v>
      </c>
      <c r="B14" t="s">
        <v>1633</v>
      </c>
      <c r="C14">
        <v>65.599999999999994</v>
      </c>
      <c r="D14">
        <v>14.37</v>
      </c>
    </row>
    <row r="15" spans="1:4" x14ac:dyDescent="0.3">
      <c r="A15" t="s">
        <v>230</v>
      </c>
      <c r="B15" t="s">
        <v>1827</v>
      </c>
      <c r="C15">
        <v>163.33000000000001</v>
      </c>
      <c r="D15">
        <v>3.14</v>
      </c>
    </row>
    <row r="16" spans="1:4" x14ac:dyDescent="0.3">
      <c r="A16" t="s">
        <v>230</v>
      </c>
      <c r="B16" t="s">
        <v>1985</v>
      </c>
      <c r="C16">
        <v>1445.26</v>
      </c>
      <c r="D16">
        <v>-24.5</v>
      </c>
    </row>
    <row r="17" spans="1:4" x14ac:dyDescent="0.3">
      <c r="A17" t="s">
        <v>230</v>
      </c>
      <c r="B17" t="s">
        <v>1990</v>
      </c>
      <c r="C17">
        <v>279.63</v>
      </c>
      <c r="D17">
        <v>-31.07</v>
      </c>
    </row>
    <row r="18" spans="1:4" x14ac:dyDescent="0.3">
      <c r="A18" t="s">
        <v>230</v>
      </c>
      <c r="B18" t="s">
        <v>2188</v>
      </c>
      <c r="C18">
        <v>16656.2</v>
      </c>
      <c r="D18">
        <v>-1299.18</v>
      </c>
    </row>
    <row r="19" spans="1:4" x14ac:dyDescent="0.3">
      <c r="A19" t="s">
        <v>2094</v>
      </c>
      <c r="B19" t="s">
        <v>2095</v>
      </c>
      <c r="C19">
        <v>8209.06</v>
      </c>
      <c r="D19">
        <v>-189.98</v>
      </c>
    </row>
    <row r="20" spans="1:4" x14ac:dyDescent="0.3">
      <c r="A20" t="s">
        <v>246</v>
      </c>
      <c r="B20" t="s">
        <v>247</v>
      </c>
      <c r="C20">
        <v>1913.13</v>
      </c>
      <c r="D20">
        <v>587.13</v>
      </c>
    </row>
    <row r="21" spans="1:4" x14ac:dyDescent="0.3">
      <c r="A21" t="s">
        <v>117</v>
      </c>
      <c r="B21" t="s">
        <v>118</v>
      </c>
      <c r="C21">
        <v>2789.01</v>
      </c>
      <c r="D21">
        <v>1262.3900000000001</v>
      </c>
    </row>
    <row r="22" spans="1:4" x14ac:dyDescent="0.3">
      <c r="A22" t="s">
        <v>1296</v>
      </c>
      <c r="B22" t="s">
        <v>1297</v>
      </c>
      <c r="C22">
        <v>126.36</v>
      </c>
      <c r="D22">
        <v>36.64</v>
      </c>
    </row>
    <row r="23" spans="1:4" x14ac:dyDescent="0.3">
      <c r="A23" t="s">
        <v>813</v>
      </c>
      <c r="B23" t="s">
        <v>814</v>
      </c>
      <c r="C23">
        <v>508.73</v>
      </c>
      <c r="D23">
        <v>99.58</v>
      </c>
    </row>
    <row r="24" spans="1:4" x14ac:dyDescent="0.3">
      <c r="A24" t="s">
        <v>813</v>
      </c>
      <c r="B24" t="s">
        <v>1036</v>
      </c>
      <c r="C24">
        <v>139.62</v>
      </c>
      <c r="D24">
        <v>59.28</v>
      </c>
    </row>
    <row r="25" spans="1:4" x14ac:dyDescent="0.3">
      <c r="A25" t="s">
        <v>2039</v>
      </c>
      <c r="B25" t="s">
        <v>2040</v>
      </c>
      <c r="C25">
        <v>1952.43</v>
      </c>
      <c r="D25">
        <v>-74.349999999999994</v>
      </c>
    </row>
    <row r="26" spans="1:4" x14ac:dyDescent="0.3">
      <c r="A26" t="s">
        <v>1213</v>
      </c>
      <c r="B26" t="s">
        <v>1214</v>
      </c>
      <c r="C26">
        <v>91.17</v>
      </c>
      <c r="D26">
        <v>43.12</v>
      </c>
    </row>
    <row r="27" spans="1:4" x14ac:dyDescent="0.3">
      <c r="A27" t="s">
        <v>141</v>
      </c>
      <c r="B27" t="s">
        <v>142</v>
      </c>
      <c r="C27">
        <v>2504.19</v>
      </c>
      <c r="D27">
        <v>1096.03</v>
      </c>
    </row>
    <row r="28" spans="1:4" x14ac:dyDescent="0.3">
      <c r="A28" t="s">
        <v>141</v>
      </c>
      <c r="B28" t="s">
        <v>1057</v>
      </c>
      <c r="C28">
        <v>120.53</v>
      </c>
      <c r="D28">
        <v>56.51</v>
      </c>
    </row>
    <row r="29" spans="1:4" x14ac:dyDescent="0.3">
      <c r="A29" t="s">
        <v>141</v>
      </c>
      <c r="B29" t="s">
        <v>1134</v>
      </c>
      <c r="C29">
        <v>204.72</v>
      </c>
      <c r="D29">
        <v>50.19</v>
      </c>
    </row>
    <row r="30" spans="1:4" x14ac:dyDescent="0.3">
      <c r="A30" t="s">
        <v>141</v>
      </c>
      <c r="B30" t="s">
        <v>1357</v>
      </c>
      <c r="C30">
        <v>68.63</v>
      </c>
      <c r="D30">
        <v>31.48</v>
      </c>
    </row>
    <row r="31" spans="1:4" x14ac:dyDescent="0.3">
      <c r="A31" t="s">
        <v>141</v>
      </c>
      <c r="B31" t="s">
        <v>1501</v>
      </c>
      <c r="C31">
        <v>46.62</v>
      </c>
      <c r="D31">
        <v>22.05</v>
      </c>
    </row>
    <row r="32" spans="1:4" x14ac:dyDescent="0.3">
      <c r="A32" t="s">
        <v>141</v>
      </c>
      <c r="B32" t="s">
        <v>1634</v>
      </c>
      <c r="C32">
        <v>369.58</v>
      </c>
      <c r="D32">
        <v>14.32</v>
      </c>
    </row>
    <row r="33" spans="1:4" x14ac:dyDescent="0.3">
      <c r="A33" t="s">
        <v>141</v>
      </c>
      <c r="B33" t="s">
        <v>1663</v>
      </c>
      <c r="C33">
        <v>174.73</v>
      </c>
      <c r="D33">
        <v>12.8</v>
      </c>
    </row>
    <row r="34" spans="1:4" x14ac:dyDescent="0.3">
      <c r="A34" t="s">
        <v>141</v>
      </c>
      <c r="B34" t="s">
        <v>1826</v>
      </c>
      <c r="C34">
        <v>7.7</v>
      </c>
      <c r="D34">
        <v>3.16</v>
      </c>
    </row>
    <row r="35" spans="1:4" x14ac:dyDescent="0.3">
      <c r="A35" t="s">
        <v>141</v>
      </c>
      <c r="B35" t="s">
        <v>1919</v>
      </c>
      <c r="C35">
        <v>91.52</v>
      </c>
      <c r="D35">
        <v>-6.94</v>
      </c>
    </row>
    <row r="36" spans="1:4" x14ac:dyDescent="0.3">
      <c r="A36" t="s">
        <v>141</v>
      </c>
      <c r="B36" t="s">
        <v>2165</v>
      </c>
      <c r="C36">
        <v>7242.77</v>
      </c>
      <c r="D36">
        <v>-532.76</v>
      </c>
    </row>
    <row r="37" spans="1:4" x14ac:dyDescent="0.3">
      <c r="A37" t="s">
        <v>2014</v>
      </c>
      <c r="B37" t="s">
        <v>2015</v>
      </c>
      <c r="C37">
        <v>374.26</v>
      </c>
      <c r="D37">
        <v>-48.61</v>
      </c>
    </row>
    <row r="38" spans="1:4" x14ac:dyDescent="0.3">
      <c r="A38" t="s">
        <v>400</v>
      </c>
      <c r="B38" t="s">
        <v>401</v>
      </c>
      <c r="C38">
        <v>2609.83</v>
      </c>
      <c r="D38">
        <v>341.98</v>
      </c>
    </row>
    <row r="39" spans="1:4" x14ac:dyDescent="0.3">
      <c r="A39" t="s">
        <v>400</v>
      </c>
      <c r="B39" t="s">
        <v>672</v>
      </c>
      <c r="C39">
        <v>693.95</v>
      </c>
      <c r="D39">
        <v>143.75</v>
      </c>
    </row>
    <row r="40" spans="1:4" x14ac:dyDescent="0.3">
      <c r="A40" t="s">
        <v>400</v>
      </c>
      <c r="B40" t="s">
        <v>1216</v>
      </c>
      <c r="C40">
        <v>110.76</v>
      </c>
      <c r="D40">
        <v>42.9</v>
      </c>
    </row>
    <row r="41" spans="1:4" x14ac:dyDescent="0.3">
      <c r="A41" t="s">
        <v>400</v>
      </c>
      <c r="B41" t="s">
        <v>1648</v>
      </c>
      <c r="C41">
        <v>36.96</v>
      </c>
      <c r="D41">
        <v>13.73</v>
      </c>
    </row>
    <row r="42" spans="1:4" x14ac:dyDescent="0.3">
      <c r="A42" t="s">
        <v>438</v>
      </c>
      <c r="B42" t="s">
        <v>439</v>
      </c>
      <c r="C42">
        <v>639.03</v>
      </c>
      <c r="D42">
        <v>300.33999999999997</v>
      </c>
    </row>
    <row r="43" spans="1:4" x14ac:dyDescent="0.3">
      <c r="A43" t="s">
        <v>438</v>
      </c>
      <c r="B43" t="s">
        <v>455</v>
      </c>
      <c r="C43">
        <v>1310.3</v>
      </c>
      <c r="D43">
        <v>284.74</v>
      </c>
    </row>
    <row r="44" spans="1:4" x14ac:dyDescent="0.3">
      <c r="A44" t="s">
        <v>438</v>
      </c>
      <c r="B44" t="s">
        <v>731</v>
      </c>
      <c r="C44">
        <v>244.7</v>
      </c>
      <c r="D44">
        <v>122.35</v>
      </c>
    </row>
    <row r="45" spans="1:4" x14ac:dyDescent="0.3">
      <c r="A45" t="s">
        <v>438</v>
      </c>
      <c r="B45" t="s">
        <v>753</v>
      </c>
      <c r="C45">
        <v>685.59</v>
      </c>
      <c r="D45">
        <v>115.74</v>
      </c>
    </row>
    <row r="46" spans="1:4" x14ac:dyDescent="0.3">
      <c r="A46" t="s">
        <v>438</v>
      </c>
      <c r="B46" t="s">
        <v>1103</v>
      </c>
      <c r="C46">
        <v>145.69</v>
      </c>
      <c r="D46">
        <v>52.45</v>
      </c>
    </row>
    <row r="47" spans="1:4" x14ac:dyDescent="0.3">
      <c r="A47" t="s">
        <v>438</v>
      </c>
      <c r="B47" t="s">
        <v>1286</v>
      </c>
      <c r="C47">
        <v>177.61</v>
      </c>
      <c r="D47">
        <v>37.39</v>
      </c>
    </row>
    <row r="48" spans="1:4" x14ac:dyDescent="0.3">
      <c r="A48" t="s">
        <v>438</v>
      </c>
      <c r="B48" t="s">
        <v>1325</v>
      </c>
      <c r="C48">
        <v>78.34</v>
      </c>
      <c r="D48">
        <v>34.270000000000003</v>
      </c>
    </row>
    <row r="49" spans="1:4" x14ac:dyDescent="0.3">
      <c r="A49" t="s">
        <v>438</v>
      </c>
      <c r="B49" t="s">
        <v>1615</v>
      </c>
      <c r="C49">
        <v>32.869999999999997</v>
      </c>
      <c r="D49">
        <v>15.09</v>
      </c>
    </row>
    <row r="50" spans="1:4" x14ac:dyDescent="0.3">
      <c r="A50" t="s">
        <v>438</v>
      </c>
      <c r="B50" t="s">
        <v>1733</v>
      </c>
      <c r="C50">
        <v>45.59</v>
      </c>
      <c r="D50">
        <v>8.56</v>
      </c>
    </row>
    <row r="51" spans="1:4" x14ac:dyDescent="0.3">
      <c r="A51" t="s">
        <v>1131</v>
      </c>
      <c r="B51" t="s">
        <v>1132</v>
      </c>
      <c r="C51">
        <v>106.35</v>
      </c>
      <c r="D51">
        <v>50.34</v>
      </c>
    </row>
    <row r="52" spans="1:4" x14ac:dyDescent="0.3">
      <c r="A52" t="s">
        <v>1131</v>
      </c>
      <c r="B52" t="s">
        <v>1488</v>
      </c>
      <c r="C52">
        <v>77.87</v>
      </c>
      <c r="D52">
        <v>22.58</v>
      </c>
    </row>
    <row r="53" spans="1:4" x14ac:dyDescent="0.3">
      <c r="A53" t="s">
        <v>1131</v>
      </c>
      <c r="B53" t="s">
        <v>1831</v>
      </c>
      <c r="C53">
        <v>9.84</v>
      </c>
      <c r="D53">
        <v>2.85</v>
      </c>
    </row>
    <row r="54" spans="1:4" x14ac:dyDescent="0.3">
      <c r="A54" t="s">
        <v>1291</v>
      </c>
      <c r="B54" t="s">
        <v>1292</v>
      </c>
      <c r="C54">
        <v>124.74</v>
      </c>
      <c r="D54">
        <v>37.04</v>
      </c>
    </row>
    <row r="55" spans="1:4" x14ac:dyDescent="0.3">
      <c r="A55" t="s">
        <v>1291</v>
      </c>
      <c r="B55" t="s">
        <v>1963</v>
      </c>
      <c r="C55">
        <v>823.25</v>
      </c>
      <c r="D55">
        <v>-17.03</v>
      </c>
    </row>
    <row r="56" spans="1:4" x14ac:dyDescent="0.3">
      <c r="A56" t="s">
        <v>1291</v>
      </c>
      <c r="B56" t="s">
        <v>1978</v>
      </c>
      <c r="C56">
        <v>1396.44</v>
      </c>
      <c r="D56">
        <v>-20.73</v>
      </c>
    </row>
    <row r="57" spans="1:4" x14ac:dyDescent="0.3">
      <c r="A57" t="s">
        <v>1291</v>
      </c>
      <c r="B57" t="s">
        <v>2054</v>
      </c>
      <c r="C57">
        <v>235.18</v>
      </c>
      <c r="D57">
        <v>-102.84</v>
      </c>
    </row>
    <row r="58" spans="1:4" x14ac:dyDescent="0.3">
      <c r="A58" t="s">
        <v>1291</v>
      </c>
      <c r="B58" t="s">
        <v>2122</v>
      </c>
      <c r="C58">
        <v>754.73</v>
      </c>
      <c r="D58">
        <v>-294.77</v>
      </c>
    </row>
    <row r="59" spans="1:4" x14ac:dyDescent="0.3">
      <c r="A59" t="s">
        <v>1291</v>
      </c>
      <c r="B59" t="s">
        <v>2162</v>
      </c>
      <c r="C59">
        <v>2671.42</v>
      </c>
      <c r="D59">
        <v>-519.94000000000005</v>
      </c>
    </row>
    <row r="60" spans="1:4" x14ac:dyDescent="0.3">
      <c r="A60" t="s">
        <v>169</v>
      </c>
      <c r="B60" t="s">
        <v>170</v>
      </c>
      <c r="C60">
        <v>2022.27</v>
      </c>
      <c r="D60">
        <v>872.1</v>
      </c>
    </row>
    <row r="61" spans="1:4" x14ac:dyDescent="0.3">
      <c r="A61" t="s">
        <v>169</v>
      </c>
      <c r="B61" t="s">
        <v>1589</v>
      </c>
      <c r="C61">
        <v>46.66</v>
      </c>
      <c r="D61">
        <v>16.329999999999998</v>
      </c>
    </row>
    <row r="62" spans="1:4" x14ac:dyDescent="0.3">
      <c r="A62" t="s">
        <v>169</v>
      </c>
      <c r="B62" t="s">
        <v>2128</v>
      </c>
      <c r="C62">
        <v>170.74</v>
      </c>
      <c r="D62">
        <v>-325.63</v>
      </c>
    </row>
    <row r="63" spans="1:4" x14ac:dyDescent="0.3">
      <c r="A63" t="s">
        <v>1993</v>
      </c>
      <c r="B63" t="s">
        <v>1994</v>
      </c>
      <c r="C63">
        <v>472.86</v>
      </c>
      <c r="D63">
        <v>-32.270000000000003</v>
      </c>
    </row>
    <row r="64" spans="1:4" x14ac:dyDescent="0.3">
      <c r="A64" t="s">
        <v>1557</v>
      </c>
      <c r="B64" t="s">
        <v>1558</v>
      </c>
      <c r="C64">
        <v>66.56</v>
      </c>
      <c r="D64">
        <v>18.510000000000002</v>
      </c>
    </row>
    <row r="65" spans="1:4" x14ac:dyDescent="0.3">
      <c r="A65" t="s">
        <v>1557</v>
      </c>
      <c r="B65" t="s">
        <v>1948</v>
      </c>
      <c r="C65">
        <v>38.299999999999997</v>
      </c>
      <c r="D65">
        <v>-12.45</v>
      </c>
    </row>
    <row r="66" spans="1:4" x14ac:dyDescent="0.3">
      <c r="A66" t="s">
        <v>306</v>
      </c>
      <c r="B66" t="s">
        <v>307</v>
      </c>
      <c r="C66">
        <v>2959.21</v>
      </c>
      <c r="D66">
        <v>493.7</v>
      </c>
    </row>
    <row r="67" spans="1:4" x14ac:dyDescent="0.3">
      <c r="A67" t="s">
        <v>306</v>
      </c>
      <c r="B67" t="s">
        <v>485</v>
      </c>
      <c r="C67">
        <v>573.65</v>
      </c>
      <c r="D67">
        <v>257.37</v>
      </c>
    </row>
    <row r="68" spans="1:4" x14ac:dyDescent="0.3">
      <c r="A68" t="s">
        <v>306</v>
      </c>
      <c r="B68" t="s">
        <v>492</v>
      </c>
      <c r="C68">
        <v>1072.6300000000001</v>
      </c>
      <c r="D68">
        <v>254.33</v>
      </c>
    </row>
    <row r="69" spans="1:4" x14ac:dyDescent="0.3">
      <c r="A69" t="s">
        <v>306</v>
      </c>
      <c r="B69" t="s">
        <v>661</v>
      </c>
      <c r="C69">
        <v>686.65</v>
      </c>
      <c r="D69">
        <v>147.97999999999999</v>
      </c>
    </row>
    <row r="70" spans="1:4" x14ac:dyDescent="0.3">
      <c r="A70" t="s">
        <v>306</v>
      </c>
      <c r="B70" t="s">
        <v>679</v>
      </c>
      <c r="C70">
        <v>320.25</v>
      </c>
      <c r="D70">
        <v>139.08000000000001</v>
      </c>
    </row>
    <row r="71" spans="1:4" x14ac:dyDescent="0.3">
      <c r="A71" t="s">
        <v>306</v>
      </c>
      <c r="B71" t="s">
        <v>1002</v>
      </c>
      <c r="C71">
        <v>287.87</v>
      </c>
      <c r="D71">
        <v>64.14</v>
      </c>
    </row>
    <row r="72" spans="1:4" x14ac:dyDescent="0.3">
      <c r="A72" t="s">
        <v>306</v>
      </c>
      <c r="B72" t="s">
        <v>1476</v>
      </c>
      <c r="C72">
        <v>51.03</v>
      </c>
      <c r="D72">
        <v>23.18</v>
      </c>
    </row>
    <row r="73" spans="1:4" x14ac:dyDescent="0.3">
      <c r="A73" t="s">
        <v>306</v>
      </c>
      <c r="B73" t="s">
        <v>1667</v>
      </c>
      <c r="C73">
        <v>49.13</v>
      </c>
      <c r="D73">
        <v>12.6</v>
      </c>
    </row>
    <row r="74" spans="1:4" x14ac:dyDescent="0.3">
      <c r="A74" t="s">
        <v>306</v>
      </c>
      <c r="B74" t="s">
        <v>1759</v>
      </c>
      <c r="C74">
        <v>16.7</v>
      </c>
      <c r="D74">
        <v>6.84</v>
      </c>
    </row>
    <row r="75" spans="1:4" x14ac:dyDescent="0.3">
      <c r="A75" t="s">
        <v>356</v>
      </c>
      <c r="B75" t="s">
        <v>357</v>
      </c>
      <c r="C75">
        <v>1231.69</v>
      </c>
      <c r="D75">
        <v>411.23</v>
      </c>
    </row>
    <row r="76" spans="1:4" x14ac:dyDescent="0.3">
      <c r="A76" t="s">
        <v>356</v>
      </c>
      <c r="B76" t="s">
        <v>504</v>
      </c>
      <c r="C76">
        <v>948.23</v>
      </c>
      <c r="D76">
        <v>241.14</v>
      </c>
    </row>
    <row r="77" spans="1:4" x14ac:dyDescent="0.3">
      <c r="A77" t="s">
        <v>1239</v>
      </c>
      <c r="B77" t="s">
        <v>1240</v>
      </c>
      <c r="C77">
        <v>98.5</v>
      </c>
      <c r="D77">
        <v>41.21</v>
      </c>
    </row>
    <row r="78" spans="1:4" x14ac:dyDescent="0.3">
      <c r="A78" t="s">
        <v>2003</v>
      </c>
      <c r="B78" t="s">
        <v>2004</v>
      </c>
      <c r="C78">
        <v>369.25</v>
      </c>
      <c r="D78">
        <v>-40.49</v>
      </c>
    </row>
    <row r="79" spans="1:4" x14ac:dyDescent="0.3">
      <c r="A79" t="s">
        <v>303</v>
      </c>
      <c r="B79" t="s">
        <v>304</v>
      </c>
      <c r="C79">
        <v>1098.6400000000001</v>
      </c>
      <c r="D79">
        <v>497.58</v>
      </c>
    </row>
    <row r="80" spans="1:4" x14ac:dyDescent="0.3">
      <c r="A80" t="s">
        <v>303</v>
      </c>
      <c r="B80" t="s">
        <v>324</v>
      </c>
      <c r="C80">
        <v>6832.91</v>
      </c>
      <c r="D80">
        <v>460.35</v>
      </c>
    </row>
    <row r="81" spans="1:4" x14ac:dyDescent="0.3">
      <c r="A81" t="s">
        <v>303</v>
      </c>
      <c r="B81" t="s">
        <v>368</v>
      </c>
      <c r="C81">
        <v>4479.03</v>
      </c>
      <c r="D81">
        <v>388.75</v>
      </c>
    </row>
    <row r="82" spans="1:4" x14ac:dyDescent="0.3">
      <c r="A82" t="s">
        <v>1780</v>
      </c>
      <c r="B82" t="s">
        <v>1781</v>
      </c>
      <c r="C82">
        <v>117.59</v>
      </c>
      <c r="D82">
        <v>5.7</v>
      </c>
    </row>
    <row r="83" spans="1:4" x14ac:dyDescent="0.3">
      <c r="A83" t="s">
        <v>680</v>
      </c>
      <c r="B83" t="s">
        <v>681</v>
      </c>
      <c r="C83">
        <v>987.4</v>
      </c>
      <c r="D83">
        <v>138.88999999999999</v>
      </c>
    </row>
    <row r="84" spans="1:4" x14ac:dyDescent="0.3">
      <c r="A84" t="s">
        <v>680</v>
      </c>
      <c r="B84" t="s">
        <v>1120</v>
      </c>
      <c r="C84">
        <v>111.46</v>
      </c>
      <c r="D84">
        <v>50.8</v>
      </c>
    </row>
    <row r="85" spans="1:4" x14ac:dyDescent="0.3">
      <c r="A85" t="s">
        <v>702</v>
      </c>
      <c r="B85" t="s">
        <v>703</v>
      </c>
      <c r="C85">
        <v>1727.06</v>
      </c>
      <c r="D85">
        <v>129.53</v>
      </c>
    </row>
    <row r="86" spans="1:4" x14ac:dyDescent="0.3">
      <c r="A86" t="s">
        <v>1293</v>
      </c>
      <c r="B86" t="s">
        <v>1294</v>
      </c>
      <c r="C86">
        <v>196.02</v>
      </c>
      <c r="D86">
        <v>37.03</v>
      </c>
    </row>
    <row r="87" spans="1:4" x14ac:dyDescent="0.3">
      <c r="A87" t="s">
        <v>1293</v>
      </c>
      <c r="B87" t="s">
        <v>1463</v>
      </c>
      <c r="C87">
        <v>60.91</v>
      </c>
      <c r="D87">
        <v>23.85</v>
      </c>
    </row>
    <row r="88" spans="1:4" x14ac:dyDescent="0.3">
      <c r="A88" t="s">
        <v>196</v>
      </c>
      <c r="B88" t="s">
        <v>197</v>
      </c>
      <c r="C88">
        <v>2242.0300000000002</v>
      </c>
      <c r="D88">
        <v>754.53</v>
      </c>
    </row>
    <row r="89" spans="1:4" x14ac:dyDescent="0.3">
      <c r="A89" t="s">
        <v>196</v>
      </c>
      <c r="B89" t="s">
        <v>198</v>
      </c>
      <c r="C89">
        <v>1686.81</v>
      </c>
      <c r="D89">
        <v>751.63</v>
      </c>
    </row>
    <row r="90" spans="1:4" x14ac:dyDescent="0.3">
      <c r="A90" t="s">
        <v>196</v>
      </c>
      <c r="B90" t="s">
        <v>750</v>
      </c>
      <c r="C90">
        <v>244.51</v>
      </c>
      <c r="D90">
        <v>117.16</v>
      </c>
    </row>
    <row r="91" spans="1:4" x14ac:dyDescent="0.3">
      <c r="A91" t="s">
        <v>196</v>
      </c>
      <c r="B91" t="s">
        <v>915</v>
      </c>
      <c r="C91">
        <v>3397.31</v>
      </c>
      <c r="D91">
        <v>78.25</v>
      </c>
    </row>
    <row r="92" spans="1:4" x14ac:dyDescent="0.3">
      <c r="A92" t="s">
        <v>196</v>
      </c>
      <c r="B92" t="s">
        <v>1584</v>
      </c>
      <c r="C92">
        <v>42.11</v>
      </c>
      <c r="D92">
        <v>16.690000000000001</v>
      </c>
    </row>
    <row r="93" spans="1:4" x14ac:dyDescent="0.3">
      <c r="A93" t="s">
        <v>196</v>
      </c>
      <c r="B93" t="s">
        <v>2074</v>
      </c>
      <c r="C93">
        <v>467.71</v>
      </c>
      <c r="D93">
        <v>-129.91999999999999</v>
      </c>
    </row>
    <row r="94" spans="1:4" x14ac:dyDescent="0.3">
      <c r="A94" t="s">
        <v>910</v>
      </c>
      <c r="B94" t="s">
        <v>911</v>
      </c>
      <c r="C94">
        <v>239.84</v>
      </c>
      <c r="D94">
        <v>79.3</v>
      </c>
    </row>
    <row r="95" spans="1:4" x14ac:dyDescent="0.3">
      <c r="A95" t="s">
        <v>1413</v>
      </c>
      <c r="B95" t="s">
        <v>1414</v>
      </c>
      <c r="C95">
        <v>58.48</v>
      </c>
      <c r="D95">
        <v>27.49</v>
      </c>
    </row>
    <row r="96" spans="1:4" x14ac:dyDescent="0.3">
      <c r="A96" t="s">
        <v>715</v>
      </c>
      <c r="B96" t="s">
        <v>716</v>
      </c>
      <c r="C96">
        <v>1119.8900000000001</v>
      </c>
      <c r="D96">
        <v>125.99</v>
      </c>
    </row>
    <row r="97" spans="1:4" x14ac:dyDescent="0.3">
      <c r="A97" t="s">
        <v>715</v>
      </c>
      <c r="B97" t="s">
        <v>824</v>
      </c>
      <c r="C97">
        <v>218.09</v>
      </c>
      <c r="D97">
        <v>95.27</v>
      </c>
    </row>
    <row r="98" spans="1:4" x14ac:dyDescent="0.3">
      <c r="A98" t="s">
        <v>511</v>
      </c>
      <c r="B98" t="s">
        <v>512</v>
      </c>
      <c r="C98">
        <v>3641.27</v>
      </c>
      <c r="D98">
        <v>234.23</v>
      </c>
    </row>
    <row r="99" spans="1:4" x14ac:dyDescent="0.3">
      <c r="A99" t="s">
        <v>511</v>
      </c>
      <c r="B99" t="s">
        <v>1420</v>
      </c>
      <c r="C99">
        <v>96.65</v>
      </c>
      <c r="D99">
        <v>26.92</v>
      </c>
    </row>
    <row r="100" spans="1:4" x14ac:dyDescent="0.3">
      <c r="A100" t="s">
        <v>511</v>
      </c>
      <c r="B100" t="s">
        <v>1739</v>
      </c>
      <c r="C100">
        <v>41.91</v>
      </c>
      <c r="D100">
        <v>8.23</v>
      </c>
    </row>
    <row r="101" spans="1:4" x14ac:dyDescent="0.3">
      <c r="A101" t="s">
        <v>511</v>
      </c>
      <c r="B101" t="s">
        <v>1956</v>
      </c>
      <c r="C101">
        <v>137.81</v>
      </c>
      <c r="D101">
        <v>-14.41</v>
      </c>
    </row>
    <row r="102" spans="1:4" x14ac:dyDescent="0.3">
      <c r="A102" t="s">
        <v>511</v>
      </c>
      <c r="B102" t="s">
        <v>2056</v>
      </c>
      <c r="C102">
        <v>1088.6400000000001</v>
      </c>
      <c r="D102">
        <v>-104.83</v>
      </c>
    </row>
    <row r="103" spans="1:4" x14ac:dyDescent="0.3">
      <c r="A103" t="s">
        <v>473</v>
      </c>
      <c r="B103" t="s">
        <v>474</v>
      </c>
      <c r="C103">
        <v>1589.08</v>
      </c>
      <c r="D103">
        <v>271.24</v>
      </c>
    </row>
    <row r="104" spans="1:4" x14ac:dyDescent="0.3">
      <c r="A104" t="s">
        <v>288</v>
      </c>
      <c r="B104" t="s">
        <v>289</v>
      </c>
      <c r="C104">
        <v>1359.67</v>
      </c>
      <c r="D104">
        <v>514.49</v>
      </c>
    </row>
    <row r="105" spans="1:4" x14ac:dyDescent="0.3">
      <c r="A105" t="s">
        <v>288</v>
      </c>
      <c r="B105" t="s">
        <v>437</v>
      </c>
      <c r="C105">
        <v>746.83</v>
      </c>
      <c r="D105">
        <v>302.33</v>
      </c>
    </row>
    <row r="106" spans="1:4" x14ac:dyDescent="0.3">
      <c r="A106" t="s">
        <v>288</v>
      </c>
      <c r="B106" t="s">
        <v>1194</v>
      </c>
      <c r="C106">
        <v>901.51</v>
      </c>
      <c r="D106">
        <v>44.17</v>
      </c>
    </row>
    <row r="107" spans="1:4" x14ac:dyDescent="0.3">
      <c r="A107" t="s">
        <v>684</v>
      </c>
      <c r="B107" t="s">
        <v>685</v>
      </c>
      <c r="C107">
        <v>775.61</v>
      </c>
      <c r="D107">
        <v>135.93</v>
      </c>
    </row>
    <row r="108" spans="1:4" x14ac:dyDescent="0.3">
      <c r="A108" t="s">
        <v>684</v>
      </c>
      <c r="B108" t="s">
        <v>1842</v>
      </c>
      <c r="C108">
        <v>13.62</v>
      </c>
      <c r="D108">
        <v>2.31</v>
      </c>
    </row>
    <row r="109" spans="1:4" x14ac:dyDescent="0.3">
      <c r="A109" t="s">
        <v>2148</v>
      </c>
      <c r="B109" t="s">
        <v>2149</v>
      </c>
      <c r="C109">
        <v>4952.67</v>
      </c>
      <c r="D109">
        <v>-450.24</v>
      </c>
    </row>
    <row r="110" spans="1:4" x14ac:dyDescent="0.3">
      <c r="A110" t="s">
        <v>2007</v>
      </c>
      <c r="B110" t="s">
        <v>2008</v>
      </c>
      <c r="C110">
        <v>344.1</v>
      </c>
      <c r="D110">
        <v>-42.18</v>
      </c>
    </row>
    <row r="111" spans="1:4" x14ac:dyDescent="0.3">
      <c r="A111" t="s">
        <v>2007</v>
      </c>
      <c r="B111" t="s">
        <v>2147</v>
      </c>
      <c r="C111">
        <v>2359.94</v>
      </c>
      <c r="D111">
        <v>-447.99</v>
      </c>
    </row>
    <row r="112" spans="1:4" x14ac:dyDescent="0.3">
      <c r="A112" t="s">
        <v>1811</v>
      </c>
      <c r="B112" t="s">
        <v>1812</v>
      </c>
      <c r="C112">
        <v>29.35</v>
      </c>
      <c r="D112">
        <v>3.77</v>
      </c>
    </row>
    <row r="113" spans="1:4" x14ac:dyDescent="0.3">
      <c r="A113" t="s">
        <v>1811</v>
      </c>
      <c r="B113" t="s">
        <v>1835</v>
      </c>
      <c r="C113">
        <v>8.0399999999999991</v>
      </c>
      <c r="D113">
        <v>2.73</v>
      </c>
    </row>
    <row r="114" spans="1:4" x14ac:dyDescent="0.3">
      <c r="A114" t="s">
        <v>1811</v>
      </c>
      <c r="B114" t="s">
        <v>2193</v>
      </c>
      <c r="C114">
        <v>7999.98</v>
      </c>
      <c r="D114">
        <v>-3839.99</v>
      </c>
    </row>
    <row r="115" spans="1:4" x14ac:dyDescent="0.3">
      <c r="A115" t="s">
        <v>339</v>
      </c>
      <c r="B115" t="s">
        <v>340</v>
      </c>
      <c r="C115">
        <v>3989.73</v>
      </c>
      <c r="D115">
        <v>425.76</v>
      </c>
    </row>
    <row r="116" spans="1:4" x14ac:dyDescent="0.3">
      <c r="A116" t="s">
        <v>339</v>
      </c>
      <c r="B116" t="s">
        <v>480</v>
      </c>
      <c r="C116">
        <v>593.84</v>
      </c>
      <c r="D116">
        <v>260.83</v>
      </c>
    </row>
    <row r="117" spans="1:4" x14ac:dyDescent="0.3">
      <c r="A117" t="s">
        <v>228</v>
      </c>
      <c r="B117" t="s">
        <v>229</v>
      </c>
      <c r="C117">
        <v>2425.42</v>
      </c>
      <c r="D117">
        <v>655.51</v>
      </c>
    </row>
    <row r="118" spans="1:4" x14ac:dyDescent="0.3">
      <c r="A118" t="s">
        <v>228</v>
      </c>
      <c r="B118" t="s">
        <v>2103</v>
      </c>
      <c r="C118">
        <v>1744.47</v>
      </c>
      <c r="D118">
        <v>-206.97</v>
      </c>
    </row>
    <row r="119" spans="1:4" x14ac:dyDescent="0.3">
      <c r="A119" t="s">
        <v>1020</v>
      </c>
      <c r="B119" t="s">
        <v>1021</v>
      </c>
      <c r="C119">
        <v>155.84</v>
      </c>
      <c r="D119">
        <v>60.54</v>
      </c>
    </row>
    <row r="120" spans="1:4" x14ac:dyDescent="0.3">
      <c r="A120" t="s">
        <v>1790</v>
      </c>
      <c r="B120" t="s">
        <v>1791</v>
      </c>
      <c r="C120">
        <v>16.899999999999999</v>
      </c>
      <c r="D120">
        <v>5.28</v>
      </c>
    </row>
    <row r="121" spans="1:4" x14ac:dyDescent="0.3">
      <c r="A121" t="s">
        <v>613</v>
      </c>
      <c r="B121" t="s">
        <v>614</v>
      </c>
      <c r="C121">
        <v>759.12</v>
      </c>
      <c r="D121">
        <v>166.84</v>
      </c>
    </row>
    <row r="122" spans="1:4" x14ac:dyDescent="0.3">
      <c r="A122" t="s">
        <v>613</v>
      </c>
      <c r="B122" t="s">
        <v>1046</v>
      </c>
      <c r="C122">
        <v>882.1</v>
      </c>
      <c r="D122">
        <v>58.46</v>
      </c>
    </row>
    <row r="123" spans="1:4" x14ac:dyDescent="0.3">
      <c r="A123" t="s">
        <v>613</v>
      </c>
      <c r="B123" t="s">
        <v>1308</v>
      </c>
      <c r="C123">
        <v>92.14</v>
      </c>
      <c r="D123">
        <v>35.6</v>
      </c>
    </row>
    <row r="124" spans="1:4" x14ac:dyDescent="0.3">
      <c r="A124" t="s">
        <v>2063</v>
      </c>
      <c r="B124" t="s">
        <v>2064</v>
      </c>
      <c r="C124">
        <v>2040.05</v>
      </c>
      <c r="D124">
        <v>-115.31</v>
      </c>
    </row>
    <row r="125" spans="1:4" x14ac:dyDescent="0.3">
      <c r="A125" t="s">
        <v>42</v>
      </c>
      <c r="B125" t="s">
        <v>43</v>
      </c>
      <c r="C125">
        <v>18374.900000000001</v>
      </c>
      <c r="D125">
        <v>4094.98</v>
      </c>
    </row>
    <row r="126" spans="1:4" x14ac:dyDescent="0.3">
      <c r="A126" t="s">
        <v>42</v>
      </c>
      <c r="B126" t="s">
        <v>398</v>
      </c>
      <c r="C126">
        <v>831.98</v>
      </c>
      <c r="D126">
        <v>342.58</v>
      </c>
    </row>
    <row r="127" spans="1:4" x14ac:dyDescent="0.3">
      <c r="A127" t="s">
        <v>42</v>
      </c>
      <c r="B127" t="s">
        <v>525</v>
      </c>
      <c r="C127">
        <v>1386.69</v>
      </c>
      <c r="D127">
        <v>228.4</v>
      </c>
    </row>
    <row r="128" spans="1:4" x14ac:dyDescent="0.3">
      <c r="A128" t="s">
        <v>42</v>
      </c>
      <c r="B128" t="s">
        <v>806</v>
      </c>
      <c r="C128">
        <v>558.74</v>
      </c>
      <c r="D128">
        <v>101</v>
      </c>
    </row>
    <row r="129" spans="1:4" x14ac:dyDescent="0.3">
      <c r="A129" t="s">
        <v>42</v>
      </c>
      <c r="B129" t="s">
        <v>836</v>
      </c>
      <c r="C129">
        <v>268.24</v>
      </c>
      <c r="D129">
        <v>93.88</v>
      </c>
    </row>
    <row r="130" spans="1:4" x14ac:dyDescent="0.3">
      <c r="A130" t="s">
        <v>42</v>
      </c>
      <c r="B130" t="s">
        <v>948</v>
      </c>
      <c r="C130">
        <v>232.76</v>
      </c>
      <c r="D130">
        <v>72.569999999999993</v>
      </c>
    </row>
    <row r="131" spans="1:4" x14ac:dyDescent="0.3">
      <c r="A131" t="s">
        <v>42</v>
      </c>
      <c r="B131" t="s">
        <v>985</v>
      </c>
      <c r="C131">
        <v>166.7</v>
      </c>
      <c r="D131">
        <v>67.040000000000006</v>
      </c>
    </row>
    <row r="132" spans="1:4" x14ac:dyDescent="0.3">
      <c r="A132" t="s">
        <v>42</v>
      </c>
      <c r="B132" t="s">
        <v>1001</v>
      </c>
      <c r="C132">
        <v>153.51</v>
      </c>
      <c r="D132">
        <v>64.400000000000006</v>
      </c>
    </row>
    <row r="133" spans="1:4" x14ac:dyDescent="0.3">
      <c r="A133" t="s">
        <v>42</v>
      </c>
      <c r="B133" t="s">
        <v>1193</v>
      </c>
      <c r="C133">
        <v>193.61</v>
      </c>
      <c r="D133">
        <v>44.19</v>
      </c>
    </row>
    <row r="134" spans="1:4" x14ac:dyDescent="0.3">
      <c r="A134" t="s">
        <v>42</v>
      </c>
      <c r="B134" t="s">
        <v>2023</v>
      </c>
      <c r="C134">
        <v>581.58000000000004</v>
      </c>
      <c r="D134">
        <v>-56.22</v>
      </c>
    </row>
    <row r="135" spans="1:4" x14ac:dyDescent="0.3">
      <c r="A135" t="s">
        <v>1760</v>
      </c>
      <c r="B135" t="s">
        <v>1761</v>
      </c>
      <c r="C135">
        <v>146.11000000000001</v>
      </c>
      <c r="D135">
        <v>6.8</v>
      </c>
    </row>
    <row r="136" spans="1:4" x14ac:dyDescent="0.3">
      <c r="A136" t="s">
        <v>1883</v>
      </c>
      <c r="B136" t="s">
        <v>1884</v>
      </c>
      <c r="C136">
        <v>91.47</v>
      </c>
      <c r="D136">
        <v>-1.83</v>
      </c>
    </row>
    <row r="137" spans="1:4" x14ac:dyDescent="0.3">
      <c r="A137" t="s">
        <v>160</v>
      </c>
      <c r="B137" t="s">
        <v>161</v>
      </c>
      <c r="C137">
        <v>7979.44</v>
      </c>
      <c r="D137">
        <v>926.19</v>
      </c>
    </row>
    <row r="138" spans="1:4" x14ac:dyDescent="0.3">
      <c r="A138" t="s">
        <v>160</v>
      </c>
      <c r="B138" t="s">
        <v>251</v>
      </c>
      <c r="C138">
        <v>3684.71</v>
      </c>
      <c r="D138">
        <v>575.33000000000004</v>
      </c>
    </row>
    <row r="139" spans="1:4" x14ac:dyDescent="0.3">
      <c r="A139" t="s">
        <v>160</v>
      </c>
      <c r="B139" t="s">
        <v>697</v>
      </c>
      <c r="C139">
        <v>481.23</v>
      </c>
      <c r="D139">
        <v>131.32</v>
      </c>
    </row>
    <row r="140" spans="1:4" x14ac:dyDescent="0.3">
      <c r="A140" t="s">
        <v>160</v>
      </c>
      <c r="B140" t="s">
        <v>736</v>
      </c>
      <c r="C140">
        <v>279.95999999999998</v>
      </c>
      <c r="D140">
        <v>120.38</v>
      </c>
    </row>
    <row r="141" spans="1:4" x14ac:dyDescent="0.3">
      <c r="A141" t="s">
        <v>160</v>
      </c>
      <c r="B141" t="s">
        <v>800</v>
      </c>
      <c r="C141">
        <v>225</v>
      </c>
      <c r="D141">
        <v>102.8</v>
      </c>
    </row>
    <row r="142" spans="1:4" x14ac:dyDescent="0.3">
      <c r="A142" t="s">
        <v>160</v>
      </c>
      <c r="B142" t="s">
        <v>972</v>
      </c>
      <c r="C142">
        <v>142.56</v>
      </c>
      <c r="D142">
        <v>68.430000000000007</v>
      </c>
    </row>
    <row r="143" spans="1:4" x14ac:dyDescent="0.3">
      <c r="A143" t="s">
        <v>160</v>
      </c>
      <c r="B143" t="s">
        <v>1072</v>
      </c>
      <c r="C143">
        <v>197.72</v>
      </c>
      <c r="D143">
        <v>55.36</v>
      </c>
    </row>
    <row r="144" spans="1:4" x14ac:dyDescent="0.3">
      <c r="A144" t="s">
        <v>160</v>
      </c>
      <c r="B144" t="s">
        <v>1223</v>
      </c>
      <c r="C144">
        <v>89.25</v>
      </c>
      <c r="D144">
        <v>42.45</v>
      </c>
    </row>
    <row r="145" spans="1:4" x14ac:dyDescent="0.3">
      <c r="A145" t="s">
        <v>160</v>
      </c>
      <c r="B145" t="s">
        <v>1440</v>
      </c>
      <c r="C145">
        <v>238.33</v>
      </c>
      <c r="D145">
        <v>25.49</v>
      </c>
    </row>
    <row r="146" spans="1:4" x14ac:dyDescent="0.3">
      <c r="A146" t="s">
        <v>160</v>
      </c>
      <c r="B146" t="s">
        <v>2138</v>
      </c>
      <c r="C146">
        <v>3140.55</v>
      </c>
      <c r="D146">
        <v>-401.99</v>
      </c>
    </row>
    <row r="147" spans="1:4" x14ac:dyDescent="0.3">
      <c r="A147" t="s">
        <v>79</v>
      </c>
      <c r="B147" t="s">
        <v>80</v>
      </c>
      <c r="C147">
        <v>10637.53</v>
      </c>
      <c r="D147">
        <v>1927.44</v>
      </c>
    </row>
    <row r="148" spans="1:4" x14ac:dyDescent="0.3">
      <c r="A148" t="s">
        <v>79</v>
      </c>
      <c r="B148" t="s">
        <v>600</v>
      </c>
      <c r="C148">
        <v>552.71</v>
      </c>
      <c r="D148">
        <v>177.66</v>
      </c>
    </row>
    <row r="149" spans="1:4" x14ac:dyDescent="0.3">
      <c r="A149" t="s">
        <v>79</v>
      </c>
      <c r="B149" t="s">
        <v>825</v>
      </c>
      <c r="C149">
        <v>846.22</v>
      </c>
      <c r="D149">
        <v>95.2</v>
      </c>
    </row>
    <row r="150" spans="1:4" x14ac:dyDescent="0.3">
      <c r="A150" t="s">
        <v>79</v>
      </c>
      <c r="B150" t="s">
        <v>903</v>
      </c>
      <c r="C150">
        <v>1830.15</v>
      </c>
      <c r="D150">
        <v>80.98</v>
      </c>
    </row>
    <row r="151" spans="1:4" x14ac:dyDescent="0.3">
      <c r="A151" t="s">
        <v>79</v>
      </c>
      <c r="B151" t="s">
        <v>1763</v>
      </c>
      <c r="C151">
        <v>16.18</v>
      </c>
      <c r="D151">
        <v>6.74</v>
      </c>
    </row>
    <row r="152" spans="1:4" x14ac:dyDescent="0.3">
      <c r="A152" t="s">
        <v>262</v>
      </c>
      <c r="B152" t="s">
        <v>263</v>
      </c>
      <c r="C152">
        <v>2491.2800000000002</v>
      </c>
      <c r="D152">
        <v>563.82000000000005</v>
      </c>
    </row>
    <row r="153" spans="1:4" x14ac:dyDescent="0.3">
      <c r="A153" t="s">
        <v>262</v>
      </c>
      <c r="B153" t="s">
        <v>277</v>
      </c>
      <c r="C153">
        <v>3537.24</v>
      </c>
      <c r="D153">
        <v>536.9</v>
      </c>
    </row>
    <row r="154" spans="1:4" x14ac:dyDescent="0.3">
      <c r="A154" t="s">
        <v>262</v>
      </c>
      <c r="B154" t="s">
        <v>280</v>
      </c>
      <c r="C154">
        <v>1233.4100000000001</v>
      </c>
      <c r="D154">
        <v>524.51</v>
      </c>
    </row>
    <row r="155" spans="1:4" x14ac:dyDescent="0.3">
      <c r="A155" t="s">
        <v>262</v>
      </c>
      <c r="B155" t="s">
        <v>382</v>
      </c>
      <c r="C155">
        <v>1946.7</v>
      </c>
      <c r="D155">
        <v>374.22</v>
      </c>
    </row>
    <row r="156" spans="1:4" x14ac:dyDescent="0.3">
      <c r="A156" t="s">
        <v>262</v>
      </c>
      <c r="B156" t="s">
        <v>484</v>
      </c>
      <c r="C156">
        <v>1240.04</v>
      </c>
      <c r="D156">
        <v>259.13</v>
      </c>
    </row>
    <row r="157" spans="1:4" x14ac:dyDescent="0.3">
      <c r="A157" t="s">
        <v>262</v>
      </c>
      <c r="B157" t="s">
        <v>564</v>
      </c>
      <c r="C157">
        <v>980.23</v>
      </c>
      <c r="D157">
        <v>198.13</v>
      </c>
    </row>
    <row r="158" spans="1:4" x14ac:dyDescent="0.3">
      <c r="A158" t="s">
        <v>262</v>
      </c>
      <c r="B158" t="s">
        <v>662</v>
      </c>
      <c r="C158">
        <v>786.9</v>
      </c>
      <c r="D158">
        <v>147.94</v>
      </c>
    </row>
    <row r="159" spans="1:4" x14ac:dyDescent="0.3">
      <c r="A159" t="s">
        <v>262</v>
      </c>
      <c r="B159" t="s">
        <v>677</v>
      </c>
      <c r="C159">
        <v>1396.21</v>
      </c>
      <c r="D159">
        <v>139.62</v>
      </c>
    </row>
    <row r="160" spans="1:4" x14ac:dyDescent="0.3">
      <c r="A160" t="s">
        <v>262</v>
      </c>
      <c r="B160" t="s">
        <v>720</v>
      </c>
      <c r="C160">
        <v>478.81</v>
      </c>
      <c r="D160">
        <v>124.05</v>
      </c>
    </row>
    <row r="161" spans="1:4" x14ac:dyDescent="0.3">
      <c r="A161" t="s">
        <v>262</v>
      </c>
      <c r="B161" t="s">
        <v>730</v>
      </c>
      <c r="C161">
        <v>374.07</v>
      </c>
      <c r="D161">
        <v>122.36</v>
      </c>
    </row>
    <row r="162" spans="1:4" x14ac:dyDescent="0.3">
      <c r="A162" t="s">
        <v>262</v>
      </c>
      <c r="B162" t="s">
        <v>733</v>
      </c>
      <c r="C162">
        <v>549.89</v>
      </c>
      <c r="D162">
        <v>120.98</v>
      </c>
    </row>
    <row r="163" spans="1:4" x14ac:dyDescent="0.3">
      <c r="A163" t="s">
        <v>262</v>
      </c>
      <c r="B163" t="s">
        <v>754</v>
      </c>
      <c r="C163">
        <v>286.67</v>
      </c>
      <c r="D163">
        <v>115.28</v>
      </c>
    </row>
    <row r="164" spans="1:4" x14ac:dyDescent="0.3">
      <c r="A164" t="s">
        <v>262</v>
      </c>
      <c r="B164" t="s">
        <v>789</v>
      </c>
      <c r="C164">
        <v>802.07</v>
      </c>
      <c r="D164">
        <v>106.47</v>
      </c>
    </row>
    <row r="165" spans="1:4" x14ac:dyDescent="0.3">
      <c r="A165" t="s">
        <v>262</v>
      </c>
      <c r="B165" t="s">
        <v>798</v>
      </c>
      <c r="C165">
        <v>458.7</v>
      </c>
      <c r="D165">
        <v>103.42</v>
      </c>
    </row>
    <row r="166" spans="1:4" x14ac:dyDescent="0.3">
      <c r="A166" t="s">
        <v>262</v>
      </c>
      <c r="B166" t="s">
        <v>878</v>
      </c>
      <c r="C166">
        <v>1318.87</v>
      </c>
      <c r="D166">
        <v>87.15</v>
      </c>
    </row>
    <row r="167" spans="1:4" x14ac:dyDescent="0.3">
      <c r="A167" t="s">
        <v>262</v>
      </c>
      <c r="B167" t="s">
        <v>909</v>
      </c>
      <c r="C167">
        <v>178.3</v>
      </c>
      <c r="D167">
        <v>79.459999999999994</v>
      </c>
    </row>
    <row r="168" spans="1:4" x14ac:dyDescent="0.3">
      <c r="A168" t="s">
        <v>262</v>
      </c>
      <c r="B168" t="s">
        <v>989</v>
      </c>
      <c r="C168">
        <v>138.74</v>
      </c>
      <c r="D168">
        <v>65.540000000000006</v>
      </c>
    </row>
    <row r="169" spans="1:4" x14ac:dyDescent="0.3">
      <c r="A169" t="s">
        <v>262</v>
      </c>
      <c r="B169" t="s">
        <v>992</v>
      </c>
      <c r="C169">
        <v>144.66999999999999</v>
      </c>
      <c r="D169">
        <v>65.05</v>
      </c>
    </row>
    <row r="170" spans="1:4" x14ac:dyDescent="0.3">
      <c r="A170" t="s">
        <v>262</v>
      </c>
      <c r="B170" t="s">
        <v>1210</v>
      </c>
      <c r="C170">
        <v>1007.98</v>
      </c>
      <c r="D170">
        <v>43.2</v>
      </c>
    </row>
    <row r="171" spans="1:4" x14ac:dyDescent="0.3">
      <c r="A171" t="s">
        <v>262</v>
      </c>
      <c r="B171" t="s">
        <v>1238</v>
      </c>
      <c r="C171">
        <v>95.76</v>
      </c>
      <c r="D171">
        <v>41.33</v>
      </c>
    </row>
    <row r="172" spans="1:4" x14ac:dyDescent="0.3">
      <c r="A172" t="s">
        <v>262</v>
      </c>
      <c r="B172" t="s">
        <v>1242</v>
      </c>
      <c r="C172">
        <v>4420.0600000000004</v>
      </c>
      <c r="D172">
        <v>41.12</v>
      </c>
    </row>
    <row r="173" spans="1:4" x14ac:dyDescent="0.3">
      <c r="A173" t="s">
        <v>262</v>
      </c>
      <c r="B173" t="s">
        <v>1302</v>
      </c>
      <c r="C173">
        <v>323.98</v>
      </c>
      <c r="D173">
        <v>36.450000000000003</v>
      </c>
    </row>
    <row r="174" spans="1:4" x14ac:dyDescent="0.3">
      <c r="A174" t="s">
        <v>262</v>
      </c>
      <c r="B174" t="s">
        <v>1361</v>
      </c>
      <c r="C174">
        <v>269.33</v>
      </c>
      <c r="D174">
        <v>31.42</v>
      </c>
    </row>
    <row r="175" spans="1:4" x14ac:dyDescent="0.3">
      <c r="A175" t="s">
        <v>262</v>
      </c>
      <c r="B175" t="s">
        <v>1387</v>
      </c>
      <c r="C175">
        <v>79.23</v>
      </c>
      <c r="D175">
        <v>29.54</v>
      </c>
    </row>
    <row r="176" spans="1:4" x14ac:dyDescent="0.3">
      <c r="A176" t="s">
        <v>262</v>
      </c>
      <c r="B176" t="s">
        <v>1411</v>
      </c>
      <c r="C176">
        <v>77.09</v>
      </c>
      <c r="D176">
        <v>27.72</v>
      </c>
    </row>
    <row r="177" spans="1:4" x14ac:dyDescent="0.3">
      <c r="A177" t="s">
        <v>262</v>
      </c>
      <c r="B177" t="s">
        <v>1472</v>
      </c>
      <c r="C177">
        <v>279.18</v>
      </c>
      <c r="D177">
        <v>23.26</v>
      </c>
    </row>
    <row r="178" spans="1:4" x14ac:dyDescent="0.3">
      <c r="A178" t="s">
        <v>262</v>
      </c>
      <c r="B178" t="s">
        <v>1504</v>
      </c>
      <c r="C178">
        <v>133.86000000000001</v>
      </c>
      <c r="D178">
        <v>21.83</v>
      </c>
    </row>
    <row r="179" spans="1:4" x14ac:dyDescent="0.3">
      <c r="A179" t="s">
        <v>262</v>
      </c>
      <c r="B179" t="s">
        <v>1508</v>
      </c>
      <c r="C179">
        <v>308.83999999999997</v>
      </c>
      <c r="D179">
        <v>21.63</v>
      </c>
    </row>
    <row r="180" spans="1:4" x14ac:dyDescent="0.3">
      <c r="A180" t="s">
        <v>262</v>
      </c>
      <c r="B180" t="s">
        <v>1571</v>
      </c>
      <c r="C180">
        <v>199.73</v>
      </c>
      <c r="D180">
        <v>17.52</v>
      </c>
    </row>
    <row r="181" spans="1:4" x14ac:dyDescent="0.3">
      <c r="A181" t="s">
        <v>262</v>
      </c>
      <c r="B181" t="s">
        <v>1610</v>
      </c>
      <c r="C181">
        <v>35.26</v>
      </c>
      <c r="D181">
        <v>15.35</v>
      </c>
    </row>
    <row r="182" spans="1:4" x14ac:dyDescent="0.3">
      <c r="A182" t="s">
        <v>262</v>
      </c>
      <c r="B182" t="s">
        <v>1679</v>
      </c>
      <c r="C182">
        <v>83.44</v>
      </c>
      <c r="D182">
        <v>11.47</v>
      </c>
    </row>
    <row r="183" spans="1:4" x14ac:dyDescent="0.3">
      <c r="A183" t="s">
        <v>262</v>
      </c>
      <c r="B183" t="s">
        <v>1692</v>
      </c>
      <c r="C183">
        <v>25.23</v>
      </c>
      <c r="D183">
        <v>10.39</v>
      </c>
    </row>
    <row r="184" spans="1:4" x14ac:dyDescent="0.3">
      <c r="A184" t="s">
        <v>262</v>
      </c>
      <c r="B184" t="s">
        <v>1720</v>
      </c>
      <c r="C184">
        <v>24.27</v>
      </c>
      <c r="D184">
        <v>8.94</v>
      </c>
    </row>
    <row r="185" spans="1:4" x14ac:dyDescent="0.3">
      <c r="A185" t="s">
        <v>262</v>
      </c>
      <c r="B185" t="s">
        <v>1721</v>
      </c>
      <c r="C185">
        <v>34.39</v>
      </c>
      <c r="D185">
        <v>8.92</v>
      </c>
    </row>
    <row r="186" spans="1:4" x14ac:dyDescent="0.3">
      <c r="A186" t="s">
        <v>262</v>
      </c>
      <c r="B186" t="s">
        <v>1726</v>
      </c>
      <c r="C186">
        <v>85.26</v>
      </c>
      <c r="D186">
        <v>8.67</v>
      </c>
    </row>
    <row r="187" spans="1:4" x14ac:dyDescent="0.3">
      <c r="A187" t="s">
        <v>262</v>
      </c>
      <c r="B187" t="s">
        <v>1736</v>
      </c>
      <c r="C187">
        <v>47.99</v>
      </c>
      <c r="D187">
        <v>8.3699999999999992</v>
      </c>
    </row>
    <row r="188" spans="1:4" x14ac:dyDescent="0.3">
      <c r="A188" t="s">
        <v>262</v>
      </c>
      <c r="B188" t="s">
        <v>1749</v>
      </c>
      <c r="C188">
        <v>37.700000000000003</v>
      </c>
      <c r="D188">
        <v>7.48</v>
      </c>
    </row>
    <row r="189" spans="1:4" x14ac:dyDescent="0.3">
      <c r="A189" t="s">
        <v>262</v>
      </c>
      <c r="B189" t="s">
        <v>1774</v>
      </c>
      <c r="C189">
        <v>15.47</v>
      </c>
      <c r="D189">
        <v>6.1</v>
      </c>
    </row>
    <row r="190" spans="1:4" x14ac:dyDescent="0.3">
      <c r="A190" t="s">
        <v>262</v>
      </c>
      <c r="B190" t="s">
        <v>1797</v>
      </c>
      <c r="C190">
        <v>15.23</v>
      </c>
      <c r="D190">
        <v>4.95</v>
      </c>
    </row>
    <row r="191" spans="1:4" x14ac:dyDescent="0.3">
      <c r="A191" t="s">
        <v>262</v>
      </c>
      <c r="B191" t="s">
        <v>1840</v>
      </c>
      <c r="C191">
        <v>7.07</v>
      </c>
      <c r="D191">
        <v>2.39</v>
      </c>
    </row>
    <row r="192" spans="1:4" x14ac:dyDescent="0.3">
      <c r="A192" t="s">
        <v>262</v>
      </c>
      <c r="B192" t="s">
        <v>1905</v>
      </c>
      <c r="C192">
        <v>102.26</v>
      </c>
      <c r="D192">
        <v>-4.42</v>
      </c>
    </row>
    <row r="193" spans="1:4" x14ac:dyDescent="0.3">
      <c r="A193" t="s">
        <v>262</v>
      </c>
      <c r="B193" t="s">
        <v>1909</v>
      </c>
      <c r="C193">
        <v>317.77</v>
      </c>
      <c r="D193">
        <v>-4.8899999999999997</v>
      </c>
    </row>
    <row r="194" spans="1:4" x14ac:dyDescent="0.3">
      <c r="A194" t="s">
        <v>262</v>
      </c>
      <c r="B194" t="s">
        <v>1933</v>
      </c>
      <c r="C194">
        <v>63.51</v>
      </c>
      <c r="D194">
        <v>-10.07</v>
      </c>
    </row>
    <row r="195" spans="1:4" x14ac:dyDescent="0.3">
      <c r="A195" t="s">
        <v>262</v>
      </c>
      <c r="B195" t="s">
        <v>1962</v>
      </c>
      <c r="C195">
        <v>117.28</v>
      </c>
      <c r="D195">
        <v>-16.489999999999998</v>
      </c>
    </row>
    <row r="196" spans="1:4" x14ac:dyDescent="0.3">
      <c r="A196" t="s">
        <v>262</v>
      </c>
      <c r="B196" t="s">
        <v>1982</v>
      </c>
      <c r="C196">
        <v>51.48</v>
      </c>
      <c r="D196">
        <v>-23.76</v>
      </c>
    </row>
    <row r="197" spans="1:4" x14ac:dyDescent="0.3">
      <c r="A197" t="s">
        <v>262</v>
      </c>
      <c r="B197" t="s">
        <v>1996</v>
      </c>
      <c r="C197">
        <v>444</v>
      </c>
      <c r="D197">
        <v>-34.729999999999997</v>
      </c>
    </row>
    <row r="198" spans="1:4" x14ac:dyDescent="0.3">
      <c r="A198" t="s">
        <v>262</v>
      </c>
      <c r="B198" t="s">
        <v>2011</v>
      </c>
      <c r="C198">
        <v>180.46</v>
      </c>
      <c r="D198">
        <v>-46.4</v>
      </c>
    </row>
    <row r="199" spans="1:4" x14ac:dyDescent="0.3">
      <c r="A199" t="s">
        <v>262</v>
      </c>
      <c r="B199" t="s">
        <v>2065</v>
      </c>
      <c r="C199">
        <v>825.17</v>
      </c>
      <c r="D199">
        <v>-117.88</v>
      </c>
    </row>
    <row r="200" spans="1:4" x14ac:dyDescent="0.3">
      <c r="A200" t="s">
        <v>262</v>
      </c>
      <c r="B200" t="s">
        <v>2091</v>
      </c>
      <c r="C200">
        <v>299.20999999999998</v>
      </c>
      <c r="D200">
        <v>-177.22</v>
      </c>
    </row>
    <row r="201" spans="1:4" x14ac:dyDescent="0.3">
      <c r="A201" t="s">
        <v>262</v>
      </c>
      <c r="B201" t="s">
        <v>2093</v>
      </c>
      <c r="C201">
        <v>1400.26</v>
      </c>
      <c r="D201">
        <v>-179.67</v>
      </c>
    </row>
    <row r="202" spans="1:4" x14ac:dyDescent="0.3">
      <c r="A202" t="s">
        <v>262</v>
      </c>
      <c r="B202" t="s">
        <v>2121</v>
      </c>
      <c r="C202">
        <v>2011.9</v>
      </c>
      <c r="D202">
        <v>-292.05</v>
      </c>
    </row>
    <row r="203" spans="1:4" x14ac:dyDescent="0.3">
      <c r="A203" t="s">
        <v>345</v>
      </c>
      <c r="B203" t="s">
        <v>346</v>
      </c>
      <c r="C203">
        <v>939.09</v>
      </c>
      <c r="D203">
        <v>421.98</v>
      </c>
    </row>
    <row r="204" spans="1:4" x14ac:dyDescent="0.3">
      <c r="A204" t="s">
        <v>1580</v>
      </c>
      <c r="B204" t="s">
        <v>1581</v>
      </c>
      <c r="C204">
        <v>95.94</v>
      </c>
      <c r="D204">
        <v>17.02</v>
      </c>
    </row>
    <row r="205" spans="1:4" x14ac:dyDescent="0.3">
      <c r="A205" t="s">
        <v>91</v>
      </c>
      <c r="B205" t="s">
        <v>92</v>
      </c>
      <c r="C205">
        <v>12996.6</v>
      </c>
      <c r="D205">
        <v>1611.58</v>
      </c>
    </row>
    <row r="206" spans="1:4" x14ac:dyDescent="0.3">
      <c r="A206" t="s">
        <v>91</v>
      </c>
      <c r="B206" t="s">
        <v>494</v>
      </c>
      <c r="C206">
        <v>2744.87</v>
      </c>
      <c r="D206">
        <v>253.77</v>
      </c>
    </row>
    <row r="207" spans="1:4" x14ac:dyDescent="0.3">
      <c r="A207" t="s">
        <v>91</v>
      </c>
      <c r="B207" t="s">
        <v>1355</v>
      </c>
      <c r="C207">
        <v>83.49</v>
      </c>
      <c r="D207">
        <v>31.57</v>
      </c>
    </row>
    <row r="208" spans="1:4" x14ac:dyDescent="0.3">
      <c r="A208" t="s">
        <v>91</v>
      </c>
      <c r="B208" t="s">
        <v>2119</v>
      </c>
      <c r="C208">
        <v>1002.94</v>
      </c>
      <c r="D208">
        <v>-267.45</v>
      </c>
    </row>
    <row r="209" spans="1:4" x14ac:dyDescent="0.3">
      <c r="A209" t="s">
        <v>772</v>
      </c>
      <c r="B209" t="s">
        <v>773</v>
      </c>
      <c r="C209">
        <v>409.6</v>
      </c>
      <c r="D209">
        <v>110.59</v>
      </c>
    </row>
    <row r="210" spans="1:4" x14ac:dyDescent="0.3">
      <c r="A210" t="s">
        <v>143</v>
      </c>
      <c r="B210" t="s">
        <v>144</v>
      </c>
      <c r="C210">
        <v>2541.84</v>
      </c>
      <c r="D210">
        <v>1092.68</v>
      </c>
    </row>
    <row r="211" spans="1:4" x14ac:dyDescent="0.3">
      <c r="A211" t="s">
        <v>143</v>
      </c>
      <c r="B211" t="s">
        <v>1430</v>
      </c>
      <c r="C211">
        <v>161.91999999999999</v>
      </c>
      <c r="D211">
        <v>26.11</v>
      </c>
    </row>
    <row r="212" spans="1:4" x14ac:dyDescent="0.3">
      <c r="A212" t="s">
        <v>143</v>
      </c>
      <c r="B212" t="s">
        <v>1475</v>
      </c>
      <c r="C212">
        <v>49.71</v>
      </c>
      <c r="D212">
        <v>23.18</v>
      </c>
    </row>
    <row r="213" spans="1:4" x14ac:dyDescent="0.3">
      <c r="A213" t="s">
        <v>143</v>
      </c>
      <c r="B213" t="s">
        <v>1642</v>
      </c>
      <c r="C213">
        <v>32.36</v>
      </c>
      <c r="D213">
        <v>14.04</v>
      </c>
    </row>
    <row r="214" spans="1:4" x14ac:dyDescent="0.3">
      <c r="A214" t="s">
        <v>143</v>
      </c>
      <c r="B214" t="s">
        <v>1709</v>
      </c>
      <c r="C214">
        <v>20.65</v>
      </c>
      <c r="D214">
        <v>9.5</v>
      </c>
    </row>
    <row r="215" spans="1:4" x14ac:dyDescent="0.3">
      <c r="A215" t="s">
        <v>521</v>
      </c>
      <c r="B215" t="s">
        <v>522</v>
      </c>
      <c r="C215">
        <v>1420.5</v>
      </c>
      <c r="D215">
        <v>229.39</v>
      </c>
    </row>
    <row r="216" spans="1:4" x14ac:dyDescent="0.3">
      <c r="A216" t="s">
        <v>521</v>
      </c>
      <c r="B216" t="s">
        <v>1030</v>
      </c>
      <c r="C216">
        <v>161.32</v>
      </c>
      <c r="D216">
        <v>59.57</v>
      </c>
    </row>
    <row r="217" spans="1:4" x14ac:dyDescent="0.3">
      <c r="A217" t="s">
        <v>521</v>
      </c>
      <c r="B217" t="s">
        <v>1279</v>
      </c>
      <c r="C217">
        <v>103.86</v>
      </c>
      <c r="D217">
        <v>37.85</v>
      </c>
    </row>
    <row r="218" spans="1:4" x14ac:dyDescent="0.3">
      <c r="A218" t="s">
        <v>521</v>
      </c>
      <c r="B218" t="s">
        <v>1401</v>
      </c>
      <c r="C218">
        <v>85.06</v>
      </c>
      <c r="D218">
        <v>28.71</v>
      </c>
    </row>
    <row r="219" spans="1:4" x14ac:dyDescent="0.3">
      <c r="A219" t="s">
        <v>521</v>
      </c>
      <c r="B219" t="s">
        <v>1743</v>
      </c>
      <c r="C219">
        <v>36.61</v>
      </c>
      <c r="D219">
        <v>7.87</v>
      </c>
    </row>
    <row r="220" spans="1:4" x14ac:dyDescent="0.3">
      <c r="A220" t="s">
        <v>521</v>
      </c>
      <c r="B220" t="s">
        <v>2053</v>
      </c>
      <c r="C220">
        <v>649.38</v>
      </c>
      <c r="D220">
        <v>-97.41</v>
      </c>
    </row>
    <row r="221" spans="1:4" x14ac:dyDescent="0.3">
      <c r="A221" t="s">
        <v>194</v>
      </c>
      <c r="B221" t="s">
        <v>195</v>
      </c>
      <c r="C221">
        <v>1696.99</v>
      </c>
      <c r="D221">
        <v>756.27</v>
      </c>
    </row>
    <row r="222" spans="1:4" x14ac:dyDescent="0.3">
      <c r="A222" t="s">
        <v>194</v>
      </c>
      <c r="B222" t="s">
        <v>565</v>
      </c>
      <c r="C222">
        <v>1978.92</v>
      </c>
      <c r="D222">
        <v>197.89</v>
      </c>
    </row>
    <row r="223" spans="1:4" x14ac:dyDescent="0.3">
      <c r="A223" t="s">
        <v>194</v>
      </c>
      <c r="B223" t="s">
        <v>1045</v>
      </c>
      <c r="C223">
        <v>212.08</v>
      </c>
      <c r="D223">
        <v>58.51</v>
      </c>
    </row>
    <row r="224" spans="1:4" x14ac:dyDescent="0.3">
      <c r="A224" t="s">
        <v>194</v>
      </c>
      <c r="B224" t="s">
        <v>1274</v>
      </c>
      <c r="C224">
        <v>86.84</v>
      </c>
      <c r="D224">
        <v>38.21</v>
      </c>
    </row>
    <row r="225" spans="1:4" x14ac:dyDescent="0.3">
      <c r="A225" t="s">
        <v>194</v>
      </c>
      <c r="B225" t="s">
        <v>1276</v>
      </c>
      <c r="C225">
        <v>77.739999999999995</v>
      </c>
      <c r="D225">
        <v>38.090000000000003</v>
      </c>
    </row>
    <row r="226" spans="1:4" x14ac:dyDescent="0.3">
      <c r="A226" t="s">
        <v>194</v>
      </c>
      <c r="B226" t="s">
        <v>1346</v>
      </c>
      <c r="C226">
        <v>83.66</v>
      </c>
      <c r="D226">
        <v>32.57</v>
      </c>
    </row>
    <row r="227" spans="1:4" x14ac:dyDescent="0.3">
      <c r="A227" t="s">
        <v>194</v>
      </c>
      <c r="B227" t="s">
        <v>1365</v>
      </c>
      <c r="C227">
        <v>122.83</v>
      </c>
      <c r="D227">
        <v>31.14</v>
      </c>
    </row>
    <row r="228" spans="1:4" x14ac:dyDescent="0.3">
      <c r="A228" t="s">
        <v>194</v>
      </c>
      <c r="B228" t="s">
        <v>1399</v>
      </c>
      <c r="C228">
        <v>96.42</v>
      </c>
      <c r="D228">
        <v>29.2</v>
      </c>
    </row>
    <row r="229" spans="1:4" x14ac:dyDescent="0.3">
      <c r="A229" t="s">
        <v>194</v>
      </c>
      <c r="B229" t="s">
        <v>1412</v>
      </c>
      <c r="C229">
        <v>158.24</v>
      </c>
      <c r="D229">
        <v>27.69</v>
      </c>
    </row>
    <row r="230" spans="1:4" x14ac:dyDescent="0.3">
      <c r="A230" t="s">
        <v>194</v>
      </c>
      <c r="B230" t="s">
        <v>1465</v>
      </c>
      <c r="C230">
        <v>514.55999999999995</v>
      </c>
      <c r="D230">
        <v>23.54</v>
      </c>
    </row>
    <row r="231" spans="1:4" x14ac:dyDescent="0.3">
      <c r="A231" t="s">
        <v>194</v>
      </c>
      <c r="B231" t="s">
        <v>1936</v>
      </c>
      <c r="C231">
        <v>91.69</v>
      </c>
      <c r="D231">
        <v>-10.41</v>
      </c>
    </row>
    <row r="232" spans="1:4" x14ac:dyDescent="0.3">
      <c r="A232" t="s">
        <v>194</v>
      </c>
      <c r="B232" t="s">
        <v>1966</v>
      </c>
      <c r="C232">
        <v>480.7</v>
      </c>
      <c r="D232">
        <v>-18.190000000000001</v>
      </c>
    </row>
    <row r="233" spans="1:4" x14ac:dyDescent="0.3">
      <c r="A233" t="s">
        <v>194</v>
      </c>
      <c r="B233" t="s">
        <v>2042</v>
      </c>
      <c r="C233">
        <v>2484.3000000000002</v>
      </c>
      <c r="D233">
        <v>-78.08</v>
      </c>
    </row>
    <row r="234" spans="1:4" x14ac:dyDescent="0.3">
      <c r="A234" t="s">
        <v>194</v>
      </c>
      <c r="B234" t="s">
        <v>2059</v>
      </c>
      <c r="C234">
        <v>1304.1300000000001</v>
      </c>
      <c r="D234">
        <v>-111.33</v>
      </c>
    </row>
    <row r="235" spans="1:4" x14ac:dyDescent="0.3">
      <c r="A235" t="s">
        <v>194</v>
      </c>
      <c r="B235" t="s">
        <v>2090</v>
      </c>
      <c r="C235">
        <v>2064.23</v>
      </c>
      <c r="D235">
        <v>-173.13</v>
      </c>
    </row>
    <row r="236" spans="1:4" x14ac:dyDescent="0.3">
      <c r="A236" t="s">
        <v>120</v>
      </c>
      <c r="B236" t="s">
        <v>121</v>
      </c>
      <c r="C236">
        <v>2699.06</v>
      </c>
      <c r="D236">
        <v>1260.22</v>
      </c>
    </row>
    <row r="237" spans="1:4" x14ac:dyDescent="0.3">
      <c r="A237" t="s">
        <v>120</v>
      </c>
      <c r="B237" t="s">
        <v>199</v>
      </c>
      <c r="C237">
        <v>4626.58</v>
      </c>
      <c r="D237">
        <v>750.73</v>
      </c>
    </row>
    <row r="238" spans="1:4" x14ac:dyDescent="0.3">
      <c r="A238" t="s">
        <v>120</v>
      </c>
      <c r="B238" t="s">
        <v>446</v>
      </c>
      <c r="C238">
        <v>675.12</v>
      </c>
      <c r="D238">
        <v>290.3</v>
      </c>
    </row>
    <row r="239" spans="1:4" x14ac:dyDescent="0.3">
      <c r="A239" t="s">
        <v>120</v>
      </c>
      <c r="B239" t="s">
        <v>579</v>
      </c>
      <c r="C239">
        <v>396</v>
      </c>
      <c r="D239">
        <v>190.08</v>
      </c>
    </row>
    <row r="240" spans="1:4" x14ac:dyDescent="0.3">
      <c r="A240" t="s">
        <v>120</v>
      </c>
      <c r="B240" t="s">
        <v>611</v>
      </c>
      <c r="C240">
        <v>647.84</v>
      </c>
      <c r="D240">
        <v>168.44</v>
      </c>
    </row>
    <row r="241" spans="1:4" x14ac:dyDescent="0.3">
      <c r="A241" t="s">
        <v>120</v>
      </c>
      <c r="B241" t="s">
        <v>671</v>
      </c>
      <c r="C241">
        <v>467.22</v>
      </c>
      <c r="D241">
        <v>143.76</v>
      </c>
    </row>
    <row r="242" spans="1:4" x14ac:dyDescent="0.3">
      <c r="A242" t="s">
        <v>120</v>
      </c>
      <c r="B242" t="s">
        <v>688</v>
      </c>
      <c r="C242">
        <v>1259.58</v>
      </c>
      <c r="D242">
        <v>134.94999999999999</v>
      </c>
    </row>
    <row r="243" spans="1:4" x14ac:dyDescent="0.3">
      <c r="A243" t="s">
        <v>120</v>
      </c>
      <c r="B243" t="s">
        <v>785</v>
      </c>
      <c r="C243">
        <v>557.80999999999995</v>
      </c>
      <c r="D243">
        <v>107.66</v>
      </c>
    </row>
    <row r="244" spans="1:4" x14ac:dyDescent="0.3">
      <c r="A244" t="s">
        <v>120</v>
      </c>
      <c r="B244" t="s">
        <v>793</v>
      </c>
      <c r="C244">
        <v>321.85000000000002</v>
      </c>
      <c r="D244">
        <v>106.18</v>
      </c>
    </row>
    <row r="245" spans="1:4" x14ac:dyDescent="0.3">
      <c r="A245" t="s">
        <v>120</v>
      </c>
      <c r="B245" t="s">
        <v>816</v>
      </c>
      <c r="C245">
        <v>266.73</v>
      </c>
      <c r="D245">
        <v>99</v>
      </c>
    </row>
    <row r="246" spans="1:4" x14ac:dyDescent="0.3">
      <c r="A246" t="s">
        <v>120</v>
      </c>
      <c r="B246" t="s">
        <v>853</v>
      </c>
      <c r="C246">
        <v>215.14</v>
      </c>
      <c r="D246">
        <v>90.46</v>
      </c>
    </row>
    <row r="247" spans="1:4" x14ac:dyDescent="0.3">
      <c r="A247" t="s">
        <v>120</v>
      </c>
      <c r="B247" t="s">
        <v>872</v>
      </c>
      <c r="C247">
        <v>219.14</v>
      </c>
      <c r="D247">
        <v>87.97</v>
      </c>
    </row>
    <row r="248" spans="1:4" x14ac:dyDescent="0.3">
      <c r="A248" t="s">
        <v>120</v>
      </c>
      <c r="B248" t="s">
        <v>913</v>
      </c>
      <c r="C248">
        <v>759.94</v>
      </c>
      <c r="D248">
        <v>78.37</v>
      </c>
    </row>
    <row r="249" spans="1:4" x14ac:dyDescent="0.3">
      <c r="A249" t="s">
        <v>120</v>
      </c>
      <c r="B249" t="s">
        <v>1052</v>
      </c>
      <c r="C249">
        <v>122.8</v>
      </c>
      <c r="D249">
        <v>57.72</v>
      </c>
    </row>
    <row r="250" spans="1:4" x14ac:dyDescent="0.3">
      <c r="A250" t="s">
        <v>120</v>
      </c>
      <c r="B250" t="s">
        <v>1221</v>
      </c>
      <c r="C250">
        <v>97.02</v>
      </c>
      <c r="D250">
        <v>42.59</v>
      </c>
    </row>
    <row r="251" spans="1:4" x14ac:dyDescent="0.3">
      <c r="A251" t="s">
        <v>120</v>
      </c>
      <c r="B251" t="s">
        <v>1230</v>
      </c>
      <c r="C251">
        <v>149.69999999999999</v>
      </c>
      <c r="D251">
        <v>41.92</v>
      </c>
    </row>
    <row r="252" spans="1:4" x14ac:dyDescent="0.3">
      <c r="A252" t="s">
        <v>120</v>
      </c>
      <c r="B252" t="s">
        <v>1261</v>
      </c>
      <c r="C252">
        <v>93.22</v>
      </c>
      <c r="D252">
        <v>39.53</v>
      </c>
    </row>
    <row r="253" spans="1:4" x14ac:dyDescent="0.3">
      <c r="A253" t="s">
        <v>120</v>
      </c>
      <c r="B253" t="s">
        <v>1301</v>
      </c>
      <c r="C253">
        <v>77.900000000000006</v>
      </c>
      <c r="D253">
        <v>36.520000000000003</v>
      </c>
    </row>
    <row r="254" spans="1:4" x14ac:dyDescent="0.3">
      <c r="A254" t="s">
        <v>120</v>
      </c>
      <c r="B254" t="s">
        <v>1386</v>
      </c>
      <c r="C254">
        <v>76.78</v>
      </c>
      <c r="D254">
        <v>29.59</v>
      </c>
    </row>
    <row r="255" spans="1:4" x14ac:dyDescent="0.3">
      <c r="A255" t="s">
        <v>120</v>
      </c>
      <c r="B255" t="s">
        <v>1403</v>
      </c>
      <c r="C255">
        <v>62.61</v>
      </c>
      <c r="D255">
        <v>28.54</v>
      </c>
    </row>
    <row r="256" spans="1:4" x14ac:dyDescent="0.3">
      <c r="A256" t="s">
        <v>120</v>
      </c>
      <c r="B256" t="s">
        <v>1442</v>
      </c>
      <c r="C256">
        <v>71.28</v>
      </c>
      <c r="D256">
        <v>24.95</v>
      </c>
    </row>
    <row r="257" spans="1:4" x14ac:dyDescent="0.3">
      <c r="A257" t="s">
        <v>120</v>
      </c>
      <c r="B257" t="s">
        <v>1458</v>
      </c>
      <c r="C257">
        <v>58.64</v>
      </c>
      <c r="D257">
        <v>24.11</v>
      </c>
    </row>
    <row r="258" spans="1:4" x14ac:dyDescent="0.3">
      <c r="A258" t="s">
        <v>120</v>
      </c>
      <c r="B258" t="s">
        <v>1468</v>
      </c>
      <c r="C258">
        <v>93.6</v>
      </c>
      <c r="D258">
        <v>23.4</v>
      </c>
    </row>
    <row r="259" spans="1:4" x14ac:dyDescent="0.3">
      <c r="A259" t="s">
        <v>120</v>
      </c>
      <c r="B259" t="s">
        <v>1527</v>
      </c>
      <c r="C259">
        <v>100.93</v>
      </c>
      <c r="D259">
        <v>20.67</v>
      </c>
    </row>
    <row r="260" spans="1:4" x14ac:dyDescent="0.3">
      <c r="A260" t="s">
        <v>120</v>
      </c>
      <c r="B260" t="s">
        <v>1537</v>
      </c>
      <c r="C260">
        <v>69.760000000000005</v>
      </c>
      <c r="D260">
        <v>20.100000000000001</v>
      </c>
    </row>
    <row r="261" spans="1:4" x14ac:dyDescent="0.3">
      <c r="A261" t="s">
        <v>120</v>
      </c>
      <c r="B261" t="s">
        <v>1542</v>
      </c>
      <c r="C261">
        <v>75.92</v>
      </c>
      <c r="D261">
        <v>19.739999999999998</v>
      </c>
    </row>
    <row r="262" spans="1:4" x14ac:dyDescent="0.3">
      <c r="A262" t="s">
        <v>120</v>
      </c>
      <c r="B262" t="s">
        <v>1573</v>
      </c>
      <c r="C262">
        <v>55.94</v>
      </c>
      <c r="D262">
        <v>17.48</v>
      </c>
    </row>
    <row r="263" spans="1:4" x14ac:dyDescent="0.3">
      <c r="A263" t="s">
        <v>120</v>
      </c>
      <c r="B263" t="s">
        <v>1691</v>
      </c>
      <c r="C263">
        <v>37.520000000000003</v>
      </c>
      <c r="D263">
        <v>10.59</v>
      </c>
    </row>
    <row r="264" spans="1:4" x14ac:dyDescent="0.3">
      <c r="A264" t="s">
        <v>120</v>
      </c>
      <c r="B264" t="s">
        <v>1750</v>
      </c>
      <c r="C264">
        <v>35.590000000000003</v>
      </c>
      <c r="D264">
        <v>7.46</v>
      </c>
    </row>
    <row r="265" spans="1:4" x14ac:dyDescent="0.3">
      <c r="A265" t="s">
        <v>120</v>
      </c>
      <c r="B265" t="s">
        <v>1773</v>
      </c>
      <c r="C265">
        <v>281.66000000000003</v>
      </c>
      <c r="D265">
        <v>6.12</v>
      </c>
    </row>
    <row r="266" spans="1:4" x14ac:dyDescent="0.3">
      <c r="A266" t="s">
        <v>120</v>
      </c>
      <c r="B266" t="s">
        <v>1802</v>
      </c>
      <c r="C266">
        <v>11.68</v>
      </c>
      <c r="D266">
        <v>4.5999999999999996</v>
      </c>
    </row>
    <row r="267" spans="1:4" x14ac:dyDescent="0.3">
      <c r="A267" t="s">
        <v>120</v>
      </c>
      <c r="B267" t="s">
        <v>1846</v>
      </c>
      <c r="C267">
        <v>93.53</v>
      </c>
      <c r="D267">
        <v>2.08</v>
      </c>
    </row>
    <row r="268" spans="1:4" x14ac:dyDescent="0.3">
      <c r="A268" t="s">
        <v>120</v>
      </c>
      <c r="B268" t="s">
        <v>1907</v>
      </c>
      <c r="C268">
        <v>17.489999999999998</v>
      </c>
      <c r="D268">
        <v>-4.83</v>
      </c>
    </row>
    <row r="269" spans="1:4" x14ac:dyDescent="0.3">
      <c r="A269" t="s">
        <v>120</v>
      </c>
      <c r="B269" t="s">
        <v>1910</v>
      </c>
      <c r="C269">
        <v>38.64</v>
      </c>
      <c r="D269">
        <v>-4.8899999999999997</v>
      </c>
    </row>
    <row r="270" spans="1:4" x14ac:dyDescent="0.3">
      <c r="A270" t="s">
        <v>120</v>
      </c>
      <c r="B270" t="s">
        <v>1924</v>
      </c>
      <c r="C270">
        <v>300.14</v>
      </c>
      <c r="D270">
        <v>-7.68</v>
      </c>
    </row>
    <row r="271" spans="1:4" x14ac:dyDescent="0.3">
      <c r="A271" t="s">
        <v>120</v>
      </c>
      <c r="B271" t="s">
        <v>1976</v>
      </c>
      <c r="C271">
        <v>41.91</v>
      </c>
      <c r="D271">
        <v>-20.52</v>
      </c>
    </row>
    <row r="272" spans="1:4" x14ac:dyDescent="0.3">
      <c r="A272" t="s">
        <v>120</v>
      </c>
      <c r="B272" t="s">
        <v>2038</v>
      </c>
      <c r="C272">
        <v>101.99</v>
      </c>
      <c r="D272">
        <v>-71.400000000000006</v>
      </c>
    </row>
    <row r="273" spans="1:4" x14ac:dyDescent="0.3">
      <c r="A273" t="s">
        <v>207</v>
      </c>
      <c r="B273" t="s">
        <v>208</v>
      </c>
      <c r="C273">
        <v>2799.72</v>
      </c>
      <c r="D273">
        <v>719.93</v>
      </c>
    </row>
    <row r="274" spans="1:4" x14ac:dyDescent="0.3">
      <c r="A274" t="s">
        <v>207</v>
      </c>
      <c r="B274" t="s">
        <v>330</v>
      </c>
      <c r="C274">
        <v>4332.25</v>
      </c>
      <c r="D274">
        <v>448.16</v>
      </c>
    </row>
    <row r="275" spans="1:4" x14ac:dyDescent="0.3">
      <c r="A275" t="s">
        <v>207</v>
      </c>
      <c r="B275" t="s">
        <v>505</v>
      </c>
      <c r="C275">
        <v>538.15</v>
      </c>
      <c r="D275">
        <v>239</v>
      </c>
    </row>
    <row r="276" spans="1:4" x14ac:dyDescent="0.3">
      <c r="A276" t="s">
        <v>207</v>
      </c>
      <c r="B276" t="s">
        <v>943</v>
      </c>
      <c r="C276">
        <v>463.8</v>
      </c>
      <c r="D276">
        <v>73.02</v>
      </c>
    </row>
    <row r="277" spans="1:4" x14ac:dyDescent="0.3">
      <c r="A277" t="s">
        <v>207</v>
      </c>
      <c r="B277" t="s">
        <v>1058</v>
      </c>
      <c r="C277">
        <v>563.03</v>
      </c>
      <c r="D277">
        <v>56.3</v>
      </c>
    </row>
    <row r="278" spans="1:4" x14ac:dyDescent="0.3">
      <c r="A278" t="s">
        <v>207</v>
      </c>
      <c r="B278" t="s">
        <v>1419</v>
      </c>
      <c r="C278">
        <v>100.08</v>
      </c>
      <c r="D278">
        <v>27.08</v>
      </c>
    </row>
    <row r="279" spans="1:4" x14ac:dyDescent="0.3">
      <c r="A279" t="s">
        <v>207</v>
      </c>
      <c r="B279" t="s">
        <v>1686</v>
      </c>
      <c r="C279">
        <v>44.23</v>
      </c>
      <c r="D279">
        <v>11.17</v>
      </c>
    </row>
    <row r="280" spans="1:4" x14ac:dyDescent="0.3">
      <c r="A280" t="s">
        <v>207</v>
      </c>
      <c r="B280" t="s">
        <v>2134</v>
      </c>
      <c r="C280">
        <v>2793.81</v>
      </c>
      <c r="D280">
        <v>-360.37</v>
      </c>
    </row>
    <row r="281" spans="1:4" x14ac:dyDescent="0.3">
      <c r="A281" t="s">
        <v>576</v>
      </c>
      <c r="B281" t="s">
        <v>577</v>
      </c>
      <c r="C281">
        <v>467.22</v>
      </c>
      <c r="D281">
        <v>192.28</v>
      </c>
    </row>
    <row r="282" spans="1:4" x14ac:dyDescent="0.3">
      <c r="A282" t="s">
        <v>562</v>
      </c>
      <c r="B282" t="s">
        <v>563</v>
      </c>
      <c r="C282">
        <v>1379.17</v>
      </c>
      <c r="D282">
        <v>199.62</v>
      </c>
    </row>
    <row r="283" spans="1:4" x14ac:dyDescent="0.3">
      <c r="A283" t="s">
        <v>562</v>
      </c>
      <c r="B283" t="s">
        <v>1664</v>
      </c>
      <c r="C283">
        <v>83.9</v>
      </c>
      <c r="D283">
        <v>12.76</v>
      </c>
    </row>
    <row r="284" spans="1:4" x14ac:dyDescent="0.3">
      <c r="A284" t="s">
        <v>763</v>
      </c>
      <c r="B284" t="s">
        <v>764</v>
      </c>
      <c r="C284">
        <v>346.36</v>
      </c>
      <c r="D284">
        <v>112.89</v>
      </c>
    </row>
    <row r="285" spans="1:4" x14ac:dyDescent="0.3">
      <c r="A285" t="s">
        <v>763</v>
      </c>
      <c r="B285" t="s">
        <v>1195</v>
      </c>
      <c r="C285">
        <v>105.29</v>
      </c>
      <c r="D285">
        <v>44.08</v>
      </c>
    </row>
    <row r="286" spans="1:4" x14ac:dyDescent="0.3">
      <c r="A286" t="s">
        <v>763</v>
      </c>
      <c r="B286" t="s">
        <v>1756</v>
      </c>
      <c r="C286">
        <v>711.29</v>
      </c>
      <c r="D286">
        <v>7.2</v>
      </c>
    </row>
    <row r="287" spans="1:4" x14ac:dyDescent="0.3">
      <c r="A287" t="s">
        <v>763</v>
      </c>
      <c r="B287" t="s">
        <v>1913</v>
      </c>
      <c r="C287">
        <v>48.01</v>
      </c>
      <c r="D287">
        <v>-5.71</v>
      </c>
    </row>
    <row r="288" spans="1:4" x14ac:dyDescent="0.3">
      <c r="A288" t="s">
        <v>1528</v>
      </c>
      <c r="B288" t="s">
        <v>1529</v>
      </c>
      <c r="C288">
        <v>155.71</v>
      </c>
      <c r="D288">
        <v>20.64</v>
      </c>
    </row>
    <row r="289" spans="1:4" x14ac:dyDescent="0.3">
      <c r="A289" t="s">
        <v>808</v>
      </c>
      <c r="B289" t="s">
        <v>809</v>
      </c>
      <c r="C289">
        <v>487.34</v>
      </c>
      <c r="D289">
        <v>100.88</v>
      </c>
    </row>
    <row r="290" spans="1:4" x14ac:dyDescent="0.3">
      <c r="A290" t="s">
        <v>808</v>
      </c>
      <c r="B290" t="s">
        <v>1071</v>
      </c>
      <c r="C290">
        <v>171.39</v>
      </c>
      <c r="D290">
        <v>55.36</v>
      </c>
    </row>
    <row r="291" spans="1:4" x14ac:dyDescent="0.3">
      <c r="A291" t="s">
        <v>808</v>
      </c>
      <c r="B291" t="s">
        <v>1273</v>
      </c>
      <c r="C291">
        <v>89.41</v>
      </c>
      <c r="D291">
        <v>38.25</v>
      </c>
    </row>
    <row r="292" spans="1:4" x14ac:dyDescent="0.3">
      <c r="A292" t="s">
        <v>808</v>
      </c>
      <c r="B292" t="s">
        <v>1697</v>
      </c>
      <c r="C292">
        <v>183.02</v>
      </c>
      <c r="D292">
        <v>10.11</v>
      </c>
    </row>
    <row r="293" spans="1:4" x14ac:dyDescent="0.3">
      <c r="A293" t="s">
        <v>124</v>
      </c>
      <c r="B293" t="s">
        <v>125</v>
      </c>
      <c r="C293">
        <v>4600.09</v>
      </c>
      <c r="D293">
        <v>1252.8800000000001</v>
      </c>
    </row>
    <row r="294" spans="1:4" x14ac:dyDescent="0.3">
      <c r="A294" t="s">
        <v>124</v>
      </c>
      <c r="B294" t="s">
        <v>317</v>
      </c>
      <c r="C294">
        <v>1936.31</v>
      </c>
      <c r="D294">
        <v>473.78</v>
      </c>
    </row>
    <row r="295" spans="1:4" x14ac:dyDescent="0.3">
      <c r="A295" t="s">
        <v>124</v>
      </c>
      <c r="B295" t="s">
        <v>362</v>
      </c>
      <c r="C295">
        <v>3039.5</v>
      </c>
      <c r="D295">
        <v>401.21</v>
      </c>
    </row>
    <row r="296" spans="1:4" x14ac:dyDescent="0.3">
      <c r="A296" t="s">
        <v>124</v>
      </c>
      <c r="B296" t="s">
        <v>458</v>
      </c>
      <c r="C296">
        <v>6748.48</v>
      </c>
      <c r="D296">
        <v>281.97000000000003</v>
      </c>
    </row>
    <row r="297" spans="1:4" x14ac:dyDescent="0.3">
      <c r="A297" t="s">
        <v>124</v>
      </c>
      <c r="B297" t="s">
        <v>815</v>
      </c>
      <c r="C297">
        <v>499.75</v>
      </c>
      <c r="D297">
        <v>99.55</v>
      </c>
    </row>
    <row r="298" spans="1:4" x14ac:dyDescent="0.3">
      <c r="A298" t="s">
        <v>124</v>
      </c>
      <c r="B298" t="s">
        <v>896</v>
      </c>
      <c r="C298">
        <v>191.36</v>
      </c>
      <c r="D298">
        <v>82.82</v>
      </c>
    </row>
    <row r="299" spans="1:4" x14ac:dyDescent="0.3">
      <c r="A299" t="s">
        <v>124</v>
      </c>
      <c r="B299" t="s">
        <v>902</v>
      </c>
      <c r="C299">
        <v>197.82</v>
      </c>
      <c r="D299">
        <v>81.33</v>
      </c>
    </row>
    <row r="300" spans="1:4" x14ac:dyDescent="0.3">
      <c r="A300" t="s">
        <v>124</v>
      </c>
      <c r="B300" t="s">
        <v>1064</v>
      </c>
      <c r="C300">
        <v>479.99</v>
      </c>
      <c r="D300">
        <v>56</v>
      </c>
    </row>
    <row r="301" spans="1:4" x14ac:dyDescent="0.3">
      <c r="A301" t="s">
        <v>124</v>
      </c>
      <c r="B301" t="s">
        <v>1152</v>
      </c>
      <c r="C301">
        <v>147.26</v>
      </c>
      <c r="D301">
        <v>48.75</v>
      </c>
    </row>
    <row r="302" spans="1:4" x14ac:dyDescent="0.3">
      <c r="A302" t="s">
        <v>124</v>
      </c>
      <c r="B302" t="s">
        <v>1192</v>
      </c>
      <c r="C302">
        <v>279.56</v>
      </c>
      <c r="D302">
        <v>44.19</v>
      </c>
    </row>
    <row r="303" spans="1:4" x14ac:dyDescent="0.3">
      <c r="A303" t="s">
        <v>124</v>
      </c>
      <c r="B303" t="s">
        <v>1225</v>
      </c>
      <c r="C303">
        <v>115.24</v>
      </c>
      <c r="D303">
        <v>42.31</v>
      </c>
    </row>
    <row r="304" spans="1:4" x14ac:dyDescent="0.3">
      <c r="A304" t="s">
        <v>124</v>
      </c>
      <c r="B304" t="s">
        <v>1267</v>
      </c>
      <c r="C304">
        <v>89.42</v>
      </c>
      <c r="D304">
        <v>38.880000000000003</v>
      </c>
    </row>
    <row r="305" spans="1:4" x14ac:dyDescent="0.3">
      <c r="A305" t="s">
        <v>124</v>
      </c>
      <c r="B305" t="s">
        <v>1343</v>
      </c>
      <c r="C305">
        <v>79.06</v>
      </c>
      <c r="D305">
        <v>32.79</v>
      </c>
    </row>
    <row r="306" spans="1:4" x14ac:dyDescent="0.3">
      <c r="A306" t="s">
        <v>124</v>
      </c>
      <c r="B306" t="s">
        <v>1467</v>
      </c>
      <c r="C306">
        <v>55.97</v>
      </c>
      <c r="D306">
        <v>23.42</v>
      </c>
    </row>
    <row r="307" spans="1:4" x14ac:dyDescent="0.3">
      <c r="A307" t="s">
        <v>124</v>
      </c>
      <c r="B307" t="s">
        <v>1498</v>
      </c>
      <c r="C307">
        <v>48.05</v>
      </c>
      <c r="D307">
        <v>22.42</v>
      </c>
    </row>
    <row r="308" spans="1:4" x14ac:dyDescent="0.3">
      <c r="A308" t="s">
        <v>124</v>
      </c>
      <c r="B308" t="s">
        <v>1551</v>
      </c>
      <c r="C308">
        <v>86.74</v>
      </c>
      <c r="D308">
        <v>18.850000000000001</v>
      </c>
    </row>
    <row r="309" spans="1:4" x14ac:dyDescent="0.3">
      <c r="A309" t="s">
        <v>124</v>
      </c>
      <c r="B309" t="s">
        <v>1784</v>
      </c>
      <c r="C309">
        <v>51.48</v>
      </c>
      <c r="D309">
        <v>5.62</v>
      </c>
    </row>
    <row r="310" spans="1:4" x14ac:dyDescent="0.3">
      <c r="A310" t="s">
        <v>124</v>
      </c>
      <c r="B310" t="s">
        <v>1864</v>
      </c>
      <c r="C310">
        <v>21870.58</v>
      </c>
      <c r="D310">
        <v>0</v>
      </c>
    </row>
    <row r="311" spans="1:4" x14ac:dyDescent="0.3">
      <c r="A311" t="s">
        <v>124</v>
      </c>
      <c r="B311" t="s">
        <v>1914</v>
      </c>
      <c r="C311">
        <v>11.48</v>
      </c>
      <c r="D311">
        <v>-5.74</v>
      </c>
    </row>
    <row r="312" spans="1:4" x14ac:dyDescent="0.3">
      <c r="A312" t="s">
        <v>124</v>
      </c>
      <c r="B312" t="s">
        <v>1961</v>
      </c>
      <c r="C312">
        <v>28.51</v>
      </c>
      <c r="D312">
        <v>-16.14</v>
      </c>
    </row>
    <row r="313" spans="1:4" x14ac:dyDescent="0.3">
      <c r="A313" t="s">
        <v>1477</v>
      </c>
      <c r="B313" t="s">
        <v>1478</v>
      </c>
      <c r="C313">
        <v>68.28</v>
      </c>
      <c r="D313">
        <v>23.04</v>
      </c>
    </row>
    <row r="314" spans="1:4" x14ac:dyDescent="0.3">
      <c r="A314" t="s">
        <v>449</v>
      </c>
      <c r="B314" t="s">
        <v>450</v>
      </c>
      <c r="C314">
        <v>1465.74</v>
      </c>
      <c r="D314">
        <v>287.91000000000003</v>
      </c>
    </row>
    <row r="315" spans="1:4" x14ac:dyDescent="0.3">
      <c r="A315" t="s">
        <v>449</v>
      </c>
      <c r="B315" t="s">
        <v>967</v>
      </c>
      <c r="C315">
        <v>194.69</v>
      </c>
      <c r="D315">
        <v>68.95</v>
      </c>
    </row>
    <row r="316" spans="1:4" x14ac:dyDescent="0.3">
      <c r="A316" t="s">
        <v>1008</v>
      </c>
      <c r="B316" t="s">
        <v>1009</v>
      </c>
      <c r="C316">
        <v>293.7</v>
      </c>
      <c r="D316">
        <v>63.01</v>
      </c>
    </row>
    <row r="317" spans="1:4" x14ac:dyDescent="0.3">
      <c r="A317" t="s">
        <v>1008</v>
      </c>
      <c r="B317" t="s">
        <v>1897</v>
      </c>
      <c r="C317">
        <v>182.51</v>
      </c>
      <c r="D317">
        <v>-3.22</v>
      </c>
    </row>
    <row r="318" spans="1:4" x14ac:dyDescent="0.3">
      <c r="A318" t="s">
        <v>236</v>
      </c>
      <c r="B318" t="s">
        <v>237</v>
      </c>
      <c r="C318">
        <v>2450.16</v>
      </c>
      <c r="D318">
        <v>630.47</v>
      </c>
    </row>
    <row r="319" spans="1:4" x14ac:dyDescent="0.3">
      <c r="A319" t="s">
        <v>236</v>
      </c>
      <c r="B319" t="s">
        <v>366</v>
      </c>
      <c r="C319">
        <v>1876.52</v>
      </c>
      <c r="D319">
        <v>397.74</v>
      </c>
    </row>
    <row r="320" spans="1:4" x14ac:dyDescent="0.3">
      <c r="A320" t="s">
        <v>236</v>
      </c>
      <c r="B320" t="s">
        <v>622</v>
      </c>
      <c r="C320">
        <v>746.17</v>
      </c>
      <c r="D320">
        <v>163.62</v>
      </c>
    </row>
    <row r="321" spans="1:4" x14ac:dyDescent="0.3">
      <c r="A321" t="s">
        <v>236</v>
      </c>
      <c r="B321" t="s">
        <v>1012</v>
      </c>
      <c r="C321">
        <v>338.12</v>
      </c>
      <c r="D321">
        <v>62.66</v>
      </c>
    </row>
    <row r="322" spans="1:4" x14ac:dyDescent="0.3">
      <c r="A322" t="s">
        <v>236</v>
      </c>
      <c r="B322" t="s">
        <v>1079</v>
      </c>
      <c r="C322">
        <v>2979</v>
      </c>
      <c r="D322">
        <v>54.72</v>
      </c>
    </row>
    <row r="323" spans="1:4" x14ac:dyDescent="0.3">
      <c r="A323" t="s">
        <v>236</v>
      </c>
      <c r="B323" t="s">
        <v>1090</v>
      </c>
      <c r="C323">
        <v>270.25</v>
      </c>
      <c r="D323">
        <v>53.4</v>
      </c>
    </row>
    <row r="324" spans="1:4" x14ac:dyDescent="0.3">
      <c r="A324" t="s">
        <v>236</v>
      </c>
      <c r="B324" t="s">
        <v>1324</v>
      </c>
      <c r="C324">
        <v>93.62</v>
      </c>
      <c r="D324">
        <v>34.46</v>
      </c>
    </row>
    <row r="325" spans="1:4" x14ac:dyDescent="0.3">
      <c r="A325" t="s">
        <v>236</v>
      </c>
      <c r="B325" t="s">
        <v>1390</v>
      </c>
      <c r="C325">
        <v>334.1</v>
      </c>
      <c r="D325">
        <v>29.45</v>
      </c>
    </row>
    <row r="326" spans="1:4" x14ac:dyDescent="0.3">
      <c r="A326" t="s">
        <v>236</v>
      </c>
      <c r="B326" t="s">
        <v>1624</v>
      </c>
      <c r="C326">
        <v>245.09</v>
      </c>
      <c r="D326">
        <v>14.92</v>
      </c>
    </row>
    <row r="327" spans="1:4" x14ac:dyDescent="0.3">
      <c r="A327" t="s">
        <v>236</v>
      </c>
      <c r="B327" t="s">
        <v>1627</v>
      </c>
      <c r="C327">
        <v>29.9</v>
      </c>
      <c r="D327">
        <v>14.65</v>
      </c>
    </row>
    <row r="328" spans="1:4" x14ac:dyDescent="0.3">
      <c r="A328" t="s">
        <v>236</v>
      </c>
      <c r="B328" t="s">
        <v>1876</v>
      </c>
      <c r="C328">
        <v>58.78</v>
      </c>
      <c r="D328">
        <v>-1.07</v>
      </c>
    </row>
    <row r="329" spans="1:4" x14ac:dyDescent="0.3">
      <c r="A329" t="s">
        <v>1080</v>
      </c>
      <c r="B329" t="s">
        <v>1081</v>
      </c>
      <c r="C329">
        <v>137.12</v>
      </c>
      <c r="D329">
        <v>54.6</v>
      </c>
    </row>
    <row r="330" spans="1:4" x14ac:dyDescent="0.3">
      <c r="A330" t="s">
        <v>151</v>
      </c>
      <c r="B330" t="s">
        <v>152</v>
      </c>
      <c r="C330">
        <v>5327.26</v>
      </c>
      <c r="D330">
        <v>1043.8599999999999</v>
      </c>
    </row>
    <row r="331" spans="1:4" x14ac:dyDescent="0.3">
      <c r="A331" t="s">
        <v>151</v>
      </c>
      <c r="B331" t="s">
        <v>1644</v>
      </c>
      <c r="C331">
        <v>87.26</v>
      </c>
      <c r="D331">
        <v>13.82</v>
      </c>
    </row>
    <row r="332" spans="1:4" x14ac:dyDescent="0.3">
      <c r="A332" t="s">
        <v>146</v>
      </c>
      <c r="B332" t="s">
        <v>147</v>
      </c>
      <c r="C332">
        <v>6695.89</v>
      </c>
      <c r="D332">
        <v>1053.98</v>
      </c>
    </row>
    <row r="333" spans="1:4" x14ac:dyDescent="0.3">
      <c r="A333" t="s">
        <v>146</v>
      </c>
      <c r="B333" t="s">
        <v>361</v>
      </c>
      <c r="C333">
        <v>1102.8900000000001</v>
      </c>
      <c r="D333">
        <v>404.29</v>
      </c>
    </row>
    <row r="334" spans="1:4" x14ac:dyDescent="0.3">
      <c r="A334" t="s">
        <v>146</v>
      </c>
      <c r="B334" t="s">
        <v>530</v>
      </c>
      <c r="C334">
        <v>1706.51</v>
      </c>
      <c r="D334">
        <v>222.59</v>
      </c>
    </row>
    <row r="335" spans="1:4" x14ac:dyDescent="0.3">
      <c r="A335" t="s">
        <v>146</v>
      </c>
      <c r="B335" t="s">
        <v>738</v>
      </c>
      <c r="C335">
        <v>618.55999999999995</v>
      </c>
      <c r="D335">
        <v>120.33</v>
      </c>
    </row>
    <row r="336" spans="1:4" x14ac:dyDescent="0.3">
      <c r="A336" t="s">
        <v>146</v>
      </c>
      <c r="B336" t="s">
        <v>866</v>
      </c>
      <c r="C336">
        <v>209.95</v>
      </c>
      <c r="D336">
        <v>88.65</v>
      </c>
    </row>
    <row r="337" spans="1:4" x14ac:dyDescent="0.3">
      <c r="A337" t="s">
        <v>146</v>
      </c>
      <c r="B337" t="s">
        <v>1215</v>
      </c>
      <c r="C337">
        <v>426.93</v>
      </c>
      <c r="D337">
        <v>43.09</v>
      </c>
    </row>
    <row r="338" spans="1:4" x14ac:dyDescent="0.3">
      <c r="A338" t="s">
        <v>146</v>
      </c>
      <c r="B338" t="s">
        <v>1522</v>
      </c>
      <c r="C338">
        <v>87.75</v>
      </c>
      <c r="D338">
        <v>20.83</v>
      </c>
    </row>
    <row r="339" spans="1:4" x14ac:dyDescent="0.3">
      <c r="A339" t="s">
        <v>146</v>
      </c>
      <c r="B339" t="s">
        <v>1534</v>
      </c>
      <c r="C339">
        <v>102</v>
      </c>
      <c r="D339">
        <v>20.23</v>
      </c>
    </row>
    <row r="340" spans="1:4" x14ac:dyDescent="0.3">
      <c r="A340" t="s">
        <v>146</v>
      </c>
      <c r="B340" t="s">
        <v>1613</v>
      </c>
      <c r="C340">
        <v>35.9</v>
      </c>
      <c r="D340">
        <v>15.21</v>
      </c>
    </row>
    <row r="341" spans="1:4" x14ac:dyDescent="0.3">
      <c r="A341" t="s">
        <v>146</v>
      </c>
      <c r="B341" t="s">
        <v>1643</v>
      </c>
      <c r="C341">
        <v>159.97999999999999</v>
      </c>
      <c r="D341">
        <v>14</v>
      </c>
    </row>
    <row r="342" spans="1:4" x14ac:dyDescent="0.3">
      <c r="A342" t="s">
        <v>146</v>
      </c>
      <c r="B342" t="s">
        <v>1659</v>
      </c>
      <c r="C342">
        <v>39.69</v>
      </c>
      <c r="D342">
        <v>13.12</v>
      </c>
    </row>
    <row r="343" spans="1:4" x14ac:dyDescent="0.3">
      <c r="A343" t="s">
        <v>146</v>
      </c>
      <c r="B343" t="s">
        <v>1665</v>
      </c>
      <c r="C343">
        <v>36.29</v>
      </c>
      <c r="D343">
        <v>12.7</v>
      </c>
    </row>
    <row r="344" spans="1:4" x14ac:dyDescent="0.3">
      <c r="A344" t="s">
        <v>146</v>
      </c>
      <c r="B344" t="s">
        <v>2096</v>
      </c>
      <c r="C344">
        <v>90.88</v>
      </c>
      <c r="D344">
        <v>-190.85</v>
      </c>
    </row>
    <row r="345" spans="1:4" x14ac:dyDescent="0.3">
      <c r="A345" t="s">
        <v>146</v>
      </c>
      <c r="B345" t="s">
        <v>2186</v>
      </c>
      <c r="C345">
        <v>1706.25</v>
      </c>
      <c r="D345">
        <v>-1148.44</v>
      </c>
    </row>
    <row r="346" spans="1:4" x14ac:dyDescent="0.3">
      <c r="A346" t="s">
        <v>62</v>
      </c>
      <c r="B346" t="s">
        <v>63</v>
      </c>
      <c r="C346">
        <v>7217.16</v>
      </c>
      <c r="D346">
        <v>2450.08</v>
      </c>
    </row>
    <row r="347" spans="1:4" x14ac:dyDescent="0.3">
      <c r="A347" t="s">
        <v>62</v>
      </c>
      <c r="B347" t="s">
        <v>159</v>
      </c>
      <c r="C347">
        <v>4434.91</v>
      </c>
      <c r="D347">
        <v>936.26</v>
      </c>
    </row>
    <row r="348" spans="1:4" x14ac:dyDescent="0.3">
      <c r="A348" t="s">
        <v>62</v>
      </c>
      <c r="B348" t="s">
        <v>1377</v>
      </c>
      <c r="C348">
        <v>68.14</v>
      </c>
      <c r="D348">
        <v>30.29</v>
      </c>
    </row>
    <row r="349" spans="1:4" x14ac:dyDescent="0.3">
      <c r="A349" t="s">
        <v>62</v>
      </c>
      <c r="B349" t="s">
        <v>2113</v>
      </c>
      <c r="C349">
        <v>1089.94</v>
      </c>
      <c r="D349">
        <v>-242.21</v>
      </c>
    </row>
    <row r="350" spans="1:4" x14ac:dyDescent="0.3">
      <c r="A350" t="s">
        <v>62</v>
      </c>
      <c r="B350" t="s">
        <v>2172</v>
      </c>
      <c r="C350">
        <v>7404.5</v>
      </c>
      <c r="D350">
        <v>-681.21</v>
      </c>
    </row>
    <row r="351" spans="1:4" x14ac:dyDescent="0.3">
      <c r="A351" t="s">
        <v>2097</v>
      </c>
      <c r="B351" t="s">
        <v>2098</v>
      </c>
      <c r="C351">
        <v>1474.31</v>
      </c>
      <c r="D351">
        <v>-191.86</v>
      </c>
    </row>
    <row r="352" spans="1:4" x14ac:dyDescent="0.3">
      <c r="A352" t="s">
        <v>2097</v>
      </c>
      <c r="B352" t="s">
        <v>2176</v>
      </c>
      <c r="C352">
        <v>2241.87</v>
      </c>
      <c r="D352">
        <v>-795.97</v>
      </c>
    </row>
    <row r="353" spans="1:4" x14ac:dyDescent="0.3">
      <c r="A353" t="s">
        <v>98</v>
      </c>
      <c r="B353" t="s">
        <v>99</v>
      </c>
      <c r="C353">
        <v>3322.88</v>
      </c>
      <c r="D353">
        <v>1517.91</v>
      </c>
    </row>
    <row r="354" spans="1:4" x14ac:dyDescent="0.3">
      <c r="A354" t="s">
        <v>98</v>
      </c>
      <c r="B354" t="s">
        <v>257</v>
      </c>
      <c r="C354">
        <v>1266.72</v>
      </c>
      <c r="D354">
        <v>570.02</v>
      </c>
    </row>
    <row r="355" spans="1:4" x14ac:dyDescent="0.3">
      <c r="A355" t="s">
        <v>98</v>
      </c>
      <c r="B355" t="s">
        <v>466</v>
      </c>
      <c r="C355">
        <v>1051.78</v>
      </c>
      <c r="D355">
        <v>277.29000000000002</v>
      </c>
    </row>
    <row r="356" spans="1:4" x14ac:dyDescent="0.3">
      <c r="A356" t="s">
        <v>98</v>
      </c>
      <c r="B356" t="s">
        <v>502</v>
      </c>
      <c r="C356">
        <v>518</v>
      </c>
      <c r="D356">
        <v>244.2</v>
      </c>
    </row>
    <row r="357" spans="1:4" x14ac:dyDescent="0.3">
      <c r="A357" t="s">
        <v>98</v>
      </c>
      <c r="B357" t="s">
        <v>517</v>
      </c>
      <c r="C357">
        <v>851.76</v>
      </c>
      <c r="D357">
        <v>229.98</v>
      </c>
    </row>
    <row r="358" spans="1:4" x14ac:dyDescent="0.3">
      <c r="A358" t="s">
        <v>98</v>
      </c>
      <c r="B358" t="s">
        <v>634</v>
      </c>
      <c r="C358">
        <v>554.24</v>
      </c>
      <c r="D358">
        <v>157.96</v>
      </c>
    </row>
    <row r="359" spans="1:4" x14ac:dyDescent="0.3">
      <c r="A359" t="s">
        <v>98</v>
      </c>
      <c r="B359" t="s">
        <v>678</v>
      </c>
      <c r="C359">
        <v>1242.05</v>
      </c>
      <c r="D359">
        <v>139.35</v>
      </c>
    </row>
    <row r="360" spans="1:4" x14ac:dyDescent="0.3">
      <c r="A360" t="s">
        <v>98</v>
      </c>
      <c r="B360" t="s">
        <v>725</v>
      </c>
      <c r="C360">
        <v>511.87</v>
      </c>
      <c r="D360">
        <v>123.01</v>
      </c>
    </row>
    <row r="361" spans="1:4" x14ac:dyDescent="0.3">
      <c r="A361" t="s">
        <v>98</v>
      </c>
      <c r="B361" t="s">
        <v>726</v>
      </c>
      <c r="C361">
        <v>689.77</v>
      </c>
      <c r="D361">
        <v>122.96</v>
      </c>
    </row>
    <row r="362" spans="1:4" x14ac:dyDescent="0.3">
      <c r="A362" t="s">
        <v>98</v>
      </c>
      <c r="B362" t="s">
        <v>868</v>
      </c>
      <c r="C362">
        <v>264.44</v>
      </c>
      <c r="D362">
        <v>88.41</v>
      </c>
    </row>
    <row r="363" spans="1:4" x14ac:dyDescent="0.3">
      <c r="A363" t="s">
        <v>98</v>
      </c>
      <c r="B363" t="s">
        <v>897</v>
      </c>
      <c r="C363">
        <v>176.26</v>
      </c>
      <c r="D363">
        <v>81.91</v>
      </c>
    </row>
    <row r="364" spans="1:4" x14ac:dyDescent="0.3">
      <c r="A364" t="s">
        <v>98</v>
      </c>
      <c r="B364" t="s">
        <v>1023</v>
      </c>
      <c r="C364">
        <v>432.43</v>
      </c>
      <c r="D364">
        <v>60.42</v>
      </c>
    </row>
    <row r="365" spans="1:4" x14ac:dyDescent="0.3">
      <c r="A365" t="s">
        <v>98</v>
      </c>
      <c r="B365" t="s">
        <v>1043</v>
      </c>
      <c r="C365">
        <v>137.27000000000001</v>
      </c>
      <c r="D365">
        <v>58.92</v>
      </c>
    </row>
    <row r="366" spans="1:4" x14ac:dyDescent="0.3">
      <c r="A366" t="s">
        <v>98</v>
      </c>
      <c r="B366" t="s">
        <v>1441</v>
      </c>
      <c r="C366">
        <v>87.52</v>
      </c>
      <c r="D366">
        <v>25.16</v>
      </c>
    </row>
    <row r="367" spans="1:4" x14ac:dyDescent="0.3">
      <c r="A367" t="s">
        <v>98</v>
      </c>
      <c r="B367" t="s">
        <v>1455</v>
      </c>
      <c r="C367">
        <v>3035.21</v>
      </c>
      <c r="D367">
        <v>24.14</v>
      </c>
    </row>
    <row r="368" spans="1:4" x14ac:dyDescent="0.3">
      <c r="A368" t="s">
        <v>98</v>
      </c>
      <c r="B368" t="s">
        <v>1555</v>
      </c>
      <c r="C368">
        <v>45.43</v>
      </c>
      <c r="D368">
        <v>18.670000000000002</v>
      </c>
    </row>
    <row r="369" spans="1:4" x14ac:dyDescent="0.3">
      <c r="A369" t="s">
        <v>98</v>
      </c>
      <c r="B369" t="s">
        <v>1576</v>
      </c>
      <c r="C369">
        <v>46.46</v>
      </c>
      <c r="D369">
        <v>17.420000000000002</v>
      </c>
    </row>
    <row r="370" spans="1:4" x14ac:dyDescent="0.3">
      <c r="A370" t="s">
        <v>98</v>
      </c>
      <c r="B370" t="s">
        <v>1886</v>
      </c>
      <c r="C370">
        <v>10.82</v>
      </c>
      <c r="D370">
        <v>-2.0099999999999998</v>
      </c>
    </row>
    <row r="371" spans="1:4" x14ac:dyDescent="0.3">
      <c r="A371" t="s">
        <v>98</v>
      </c>
      <c r="B371" t="s">
        <v>1912</v>
      </c>
      <c r="C371">
        <v>28.85</v>
      </c>
      <c r="D371">
        <v>-5.48</v>
      </c>
    </row>
    <row r="372" spans="1:4" x14ac:dyDescent="0.3">
      <c r="A372" t="s">
        <v>98</v>
      </c>
      <c r="B372" t="s">
        <v>2037</v>
      </c>
      <c r="C372">
        <v>489.38</v>
      </c>
      <c r="D372">
        <v>-70.83</v>
      </c>
    </row>
    <row r="373" spans="1:4" x14ac:dyDescent="0.3">
      <c r="A373" t="s">
        <v>591</v>
      </c>
      <c r="B373" t="s">
        <v>592</v>
      </c>
      <c r="C373">
        <v>487.51</v>
      </c>
      <c r="D373">
        <v>180.02</v>
      </c>
    </row>
    <row r="374" spans="1:4" x14ac:dyDescent="0.3">
      <c r="A374" t="s">
        <v>591</v>
      </c>
      <c r="B374" t="s">
        <v>1053</v>
      </c>
      <c r="C374">
        <v>184</v>
      </c>
      <c r="D374">
        <v>57.5</v>
      </c>
    </row>
    <row r="375" spans="1:4" x14ac:dyDescent="0.3">
      <c r="A375" t="s">
        <v>591</v>
      </c>
      <c r="B375" t="s">
        <v>1101</v>
      </c>
      <c r="C375">
        <v>175.94</v>
      </c>
      <c r="D375">
        <v>52.48</v>
      </c>
    </row>
    <row r="376" spans="1:4" x14ac:dyDescent="0.3">
      <c r="A376" t="s">
        <v>591</v>
      </c>
      <c r="B376" t="s">
        <v>1629</v>
      </c>
      <c r="C376">
        <v>47.08</v>
      </c>
      <c r="D376">
        <v>14.59</v>
      </c>
    </row>
    <row r="377" spans="1:4" x14ac:dyDescent="0.3">
      <c r="A377" t="s">
        <v>591</v>
      </c>
      <c r="B377" t="s">
        <v>1685</v>
      </c>
      <c r="C377">
        <v>173.83</v>
      </c>
      <c r="D377">
        <v>11.19</v>
      </c>
    </row>
    <row r="378" spans="1:4" x14ac:dyDescent="0.3">
      <c r="A378" t="s">
        <v>591</v>
      </c>
      <c r="B378" t="s">
        <v>1901</v>
      </c>
      <c r="C378">
        <v>38.270000000000003</v>
      </c>
      <c r="D378">
        <v>-3.66</v>
      </c>
    </row>
    <row r="379" spans="1:4" x14ac:dyDescent="0.3">
      <c r="A379" t="s">
        <v>713</v>
      </c>
      <c r="B379" t="s">
        <v>714</v>
      </c>
      <c r="C379">
        <v>556.45000000000005</v>
      </c>
      <c r="D379">
        <v>126.16</v>
      </c>
    </row>
    <row r="380" spans="1:4" x14ac:dyDescent="0.3">
      <c r="A380" t="s">
        <v>1218</v>
      </c>
      <c r="B380" t="s">
        <v>1219</v>
      </c>
      <c r="C380">
        <v>275.08</v>
      </c>
      <c r="D380">
        <v>42.79</v>
      </c>
    </row>
    <row r="381" spans="1:4" x14ac:dyDescent="0.3">
      <c r="A381" t="s">
        <v>447</v>
      </c>
      <c r="B381" t="s">
        <v>448</v>
      </c>
      <c r="C381">
        <v>3861.06</v>
      </c>
      <c r="D381">
        <v>289.58</v>
      </c>
    </row>
    <row r="382" spans="1:4" x14ac:dyDescent="0.3">
      <c r="A382" t="s">
        <v>1505</v>
      </c>
      <c r="B382" t="s">
        <v>1506</v>
      </c>
      <c r="C382">
        <v>45.36</v>
      </c>
      <c r="D382">
        <v>21.77</v>
      </c>
    </row>
    <row r="383" spans="1:4" x14ac:dyDescent="0.3">
      <c r="A383" t="s">
        <v>1096</v>
      </c>
      <c r="B383" t="s">
        <v>1097</v>
      </c>
      <c r="C383">
        <v>155.38</v>
      </c>
      <c r="D383">
        <v>52.83</v>
      </c>
    </row>
    <row r="384" spans="1:4" x14ac:dyDescent="0.3">
      <c r="A384" t="s">
        <v>1096</v>
      </c>
      <c r="B384" t="s">
        <v>1381</v>
      </c>
      <c r="C384">
        <v>125</v>
      </c>
      <c r="D384">
        <v>30</v>
      </c>
    </row>
    <row r="385" spans="1:4" x14ac:dyDescent="0.3">
      <c r="A385" t="s">
        <v>440</v>
      </c>
      <c r="B385" t="s">
        <v>441</v>
      </c>
      <c r="C385">
        <v>2063.14</v>
      </c>
      <c r="D385">
        <v>299.88</v>
      </c>
    </row>
    <row r="386" spans="1:4" x14ac:dyDescent="0.3">
      <c r="A386" t="s">
        <v>414</v>
      </c>
      <c r="B386" t="s">
        <v>415</v>
      </c>
      <c r="C386">
        <v>1538.89</v>
      </c>
      <c r="D386">
        <v>323.98</v>
      </c>
    </row>
    <row r="387" spans="1:4" x14ac:dyDescent="0.3">
      <c r="A387" t="s">
        <v>1792</v>
      </c>
      <c r="B387" t="s">
        <v>1793</v>
      </c>
      <c r="C387">
        <v>190.77</v>
      </c>
      <c r="D387">
        <v>5.16</v>
      </c>
    </row>
    <row r="388" spans="1:4" x14ac:dyDescent="0.3">
      <c r="A388" t="s">
        <v>1792</v>
      </c>
      <c r="B388" t="s">
        <v>2099</v>
      </c>
      <c r="C388">
        <v>4544.93</v>
      </c>
      <c r="D388">
        <v>-192.19</v>
      </c>
    </row>
    <row r="389" spans="1:4" x14ac:dyDescent="0.3">
      <c r="A389" t="s">
        <v>1516</v>
      </c>
      <c r="B389" t="s">
        <v>1517</v>
      </c>
      <c r="C389">
        <v>135.71</v>
      </c>
      <c r="D389">
        <v>21.15</v>
      </c>
    </row>
    <row r="390" spans="1:4" x14ac:dyDescent="0.3">
      <c r="A390" t="s">
        <v>290</v>
      </c>
      <c r="B390" t="s">
        <v>291</v>
      </c>
      <c r="C390">
        <v>3528.79</v>
      </c>
      <c r="D390">
        <v>514.37</v>
      </c>
    </row>
    <row r="391" spans="1:4" x14ac:dyDescent="0.3">
      <c r="A391" t="s">
        <v>163</v>
      </c>
      <c r="B391" t="s">
        <v>164</v>
      </c>
      <c r="C391">
        <v>6227.65</v>
      </c>
      <c r="D391">
        <v>899.95</v>
      </c>
    </row>
    <row r="392" spans="1:4" x14ac:dyDescent="0.3">
      <c r="A392" t="s">
        <v>163</v>
      </c>
      <c r="B392" t="s">
        <v>331</v>
      </c>
      <c r="C392">
        <v>2670.47</v>
      </c>
      <c r="D392">
        <v>446.1</v>
      </c>
    </row>
    <row r="393" spans="1:4" x14ac:dyDescent="0.3">
      <c r="A393" t="s">
        <v>163</v>
      </c>
      <c r="B393" t="s">
        <v>365</v>
      </c>
      <c r="C393">
        <v>860.22</v>
      </c>
      <c r="D393">
        <v>398.41</v>
      </c>
    </row>
    <row r="394" spans="1:4" x14ac:dyDescent="0.3">
      <c r="A394" t="s">
        <v>163</v>
      </c>
      <c r="B394" t="s">
        <v>1028</v>
      </c>
      <c r="C394">
        <v>172.69</v>
      </c>
      <c r="D394">
        <v>59.78</v>
      </c>
    </row>
    <row r="395" spans="1:4" x14ac:dyDescent="0.3">
      <c r="A395" t="s">
        <v>163</v>
      </c>
      <c r="B395" t="s">
        <v>1313</v>
      </c>
      <c r="C395">
        <v>168.39</v>
      </c>
      <c r="D395">
        <v>35.31</v>
      </c>
    </row>
    <row r="396" spans="1:4" x14ac:dyDescent="0.3">
      <c r="A396" t="s">
        <v>163</v>
      </c>
      <c r="B396" t="s">
        <v>1341</v>
      </c>
      <c r="C396">
        <v>82.22</v>
      </c>
      <c r="D396">
        <v>32.89</v>
      </c>
    </row>
    <row r="397" spans="1:4" x14ac:dyDescent="0.3">
      <c r="A397" t="s">
        <v>163</v>
      </c>
      <c r="B397" t="s">
        <v>1511</v>
      </c>
      <c r="C397">
        <v>53.75</v>
      </c>
      <c r="D397">
        <v>21.59</v>
      </c>
    </row>
    <row r="398" spans="1:4" x14ac:dyDescent="0.3">
      <c r="A398" t="s">
        <v>163</v>
      </c>
      <c r="B398" t="s">
        <v>1899</v>
      </c>
      <c r="C398">
        <v>77.239999999999995</v>
      </c>
      <c r="D398">
        <v>-3.3</v>
      </c>
    </row>
    <row r="399" spans="1:4" x14ac:dyDescent="0.3">
      <c r="A399" t="s">
        <v>163</v>
      </c>
      <c r="B399" t="s">
        <v>1960</v>
      </c>
      <c r="C399">
        <v>216.96</v>
      </c>
      <c r="D399">
        <v>-15.59</v>
      </c>
    </row>
    <row r="400" spans="1:4" x14ac:dyDescent="0.3">
      <c r="A400" t="s">
        <v>163</v>
      </c>
      <c r="B400" t="s">
        <v>1989</v>
      </c>
      <c r="C400">
        <v>1187.56</v>
      </c>
      <c r="D400">
        <v>-30.23</v>
      </c>
    </row>
    <row r="401" spans="1:4" x14ac:dyDescent="0.3">
      <c r="A401" t="s">
        <v>1523</v>
      </c>
      <c r="B401" t="s">
        <v>1524</v>
      </c>
      <c r="C401">
        <v>64.06</v>
      </c>
      <c r="D401">
        <v>20.82</v>
      </c>
    </row>
    <row r="402" spans="1:4" x14ac:dyDescent="0.3">
      <c r="A402" t="s">
        <v>1523</v>
      </c>
      <c r="B402" t="s">
        <v>2145</v>
      </c>
      <c r="C402">
        <v>2913.91</v>
      </c>
      <c r="D402">
        <v>-445.39</v>
      </c>
    </row>
    <row r="403" spans="1:4" x14ac:dyDescent="0.3">
      <c r="A403" t="s">
        <v>1949</v>
      </c>
      <c r="B403" t="s">
        <v>1950</v>
      </c>
      <c r="C403">
        <v>119.83</v>
      </c>
      <c r="D403">
        <v>-12.69</v>
      </c>
    </row>
    <row r="404" spans="1:4" x14ac:dyDescent="0.3">
      <c r="A404" t="s">
        <v>757</v>
      </c>
      <c r="B404" t="s">
        <v>758</v>
      </c>
      <c r="C404">
        <v>496.25</v>
      </c>
      <c r="D404">
        <v>113.27</v>
      </c>
    </row>
    <row r="405" spans="1:4" x14ac:dyDescent="0.3">
      <c r="A405" t="s">
        <v>1768</v>
      </c>
      <c r="B405" t="s">
        <v>1769</v>
      </c>
      <c r="C405">
        <v>83.94</v>
      </c>
      <c r="D405">
        <v>6.3</v>
      </c>
    </row>
    <row r="406" spans="1:4" x14ac:dyDescent="0.3">
      <c r="A406" t="s">
        <v>1768</v>
      </c>
      <c r="B406" t="s">
        <v>1969</v>
      </c>
      <c r="C406">
        <v>174.24</v>
      </c>
      <c r="D406">
        <v>-19.600000000000001</v>
      </c>
    </row>
    <row r="407" spans="1:4" x14ac:dyDescent="0.3">
      <c r="A407" t="s">
        <v>515</v>
      </c>
      <c r="B407" t="s">
        <v>516</v>
      </c>
      <c r="C407">
        <v>2207.96</v>
      </c>
      <c r="D407">
        <v>231.65</v>
      </c>
    </row>
    <row r="408" spans="1:4" x14ac:dyDescent="0.3">
      <c r="A408" t="s">
        <v>515</v>
      </c>
      <c r="B408" t="s">
        <v>881</v>
      </c>
      <c r="C408">
        <v>347.31</v>
      </c>
      <c r="D408">
        <v>85.81</v>
      </c>
    </row>
    <row r="409" spans="1:4" x14ac:dyDescent="0.3">
      <c r="A409" t="s">
        <v>335</v>
      </c>
      <c r="B409" t="s">
        <v>336</v>
      </c>
      <c r="C409">
        <v>4334.83</v>
      </c>
      <c r="D409">
        <v>430.07</v>
      </c>
    </row>
    <row r="410" spans="1:4" x14ac:dyDescent="0.3">
      <c r="A410" t="s">
        <v>335</v>
      </c>
      <c r="B410" t="s">
        <v>456</v>
      </c>
      <c r="C410">
        <v>753.18</v>
      </c>
      <c r="D410">
        <v>284.07</v>
      </c>
    </row>
    <row r="411" spans="1:4" x14ac:dyDescent="0.3">
      <c r="A411" t="s">
        <v>335</v>
      </c>
      <c r="B411" t="s">
        <v>1093</v>
      </c>
      <c r="C411">
        <v>1524.53</v>
      </c>
      <c r="D411">
        <v>53.03</v>
      </c>
    </row>
    <row r="412" spans="1:4" x14ac:dyDescent="0.3">
      <c r="A412" t="s">
        <v>335</v>
      </c>
      <c r="B412" t="s">
        <v>1890</v>
      </c>
      <c r="C412">
        <v>9.59</v>
      </c>
      <c r="D412">
        <v>-2.08</v>
      </c>
    </row>
    <row r="413" spans="1:4" x14ac:dyDescent="0.3">
      <c r="A413" t="s">
        <v>335</v>
      </c>
      <c r="B413" t="s">
        <v>1934</v>
      </c>
      <c r="C413">
        <v>112.67</v>
      </c>
      <c r="D413">
        <v>-10.14</v>
      </c>
    </row>
    <row r="414" spans="1:4" x14ac:dyDescent="0.3">
      <c r="A414" t="s">
        <v>335</v>
      </c>
      <c r="B414" t="s">
        <v>2101</v>
      </c>
      <c r="C414">
        <v>526.61</v>
      </c>
      <c r="D414">
        <v>-201.51</v>
      </c>
    </row>
    <row r="415" spans="1:4" x14ac:dyDescent="0.3">
      <c r="A415" t="s">
        <v>944</v>
      </c>
      <c r="B415" t="s">
        <v>945</v>
      </c>
      <c r="C415">
        <v>186.5</v>
      </c>
      <c r="D415">
        <v>72.790000000000006</v>
      </c>
    </row>
    <row r="416" spans="1:4" x14ac:dyDescent="0.3">
      <c r="A416" t="s">
        <v>944</v>
      </c>
      <c r="B416" t="s">
        <v>1604</v>
      </c>
      <c r="C416">
        <v>32.4</v>
      </c>
      <c r="D416">
        <v>15.55</v>
      </c>
    </row>
    <row r="417" spans="1:4" x14ac:dyDescent="0.3">
      <c r="A417" t="s">
        <v>944</v>
      </c>
      <c r="B417" t="s">
        <v>1647</v>
      </c>
      <c r="C417">
        <v>37.46</v>
      </c>
      <c r="D417">
        <v>13.74</v>
      </c>
    </row>
    <row r="418" spans="1:4" x14ac:dyDescent="0.3">
      <c r="A418" t="s">
        <v>1040</v>
      </c>
      <c r="B418" t="s">
        <v>1041</v>
      </c>
      <c r="C418">
        <v>422.64</v>
      </c>
      <c r="D418">
        <v>59.07</v>
      </c>
    </row>
    <row r="419" spans="1:4" x14ac:dyDescent="0.3">
      <c r="A419" t="s">
        <v>1040</v>
      </c>
      <c r="B419" t="s">
        <v>1122</v>
      </c>
      <c r="C419">
        <v>180.66</v>
      </c>
      <c r="D419">
        <v>50.58</v>
      </c>
    </row>
    <row r="420" spans="1:4" x14ac:dyDescent="0.3">
      <c r="A420" t="s">
        <v>1040</v>
      </c>
      <c r="B420" t="s">
        <v>1326</v>
      </c>
      <c r="C420">
        <v>80.59</v>
      </c>
      <c r="D420">
        <v>34.159999999999997</v>
      </c>
    </row>
    <row r="421" spans="1:4" x14ac:dyDescent="0.3">
      <c r="A421" t="s">
        <v>1040</v>
      </c>
      <c r="B421" t="s">
        <v>2100</v>
      </c>
      <c r="C421">
        <v>4770.63</v>
      </c>
      <c r="D421">
        <v>-197.58</v>
      </c>
    </row>
    <row r="422" spans="1:4" x14ac:dyDescent="0.3">
      <c r="A422" t="s">
        <v>55</v>
      </c>
      <c r="B422" t="s">
        <v>56</v>
      </c>
      <c r="C422">
        <v>8899.82</v>
      </c>
      <c r="D422">
        <v>3124.94</v>
      </c>
    </row>
    <row r="423" spans="1:4" x14ac:dyDescent="0.3">
      <c r="A423" t="s">
        <v>55</v>
      </c>
      <c r="B423" t="s">
        <v>418</v>
      </c>
      <c r="C423">
        <v>1184.03</v>
      </c>
      <c r="D423">
        <v>319.62</v>
      </c>
    </row>
    <row r="424" spans="1:4" x14ac:dyDescent="0.3">
      <c r="A424" t="s">
        <v>55</v>
      </c>
      <c r="B424" t="s">
        <v>695</v>
      </c>
      <c r="C424">
        <v>604.75</v>
      </c>
      <c r="D424">
        <v>132.29</v>
      </c>
    </row>
    <row r="425" spans="1:4" x14ac:dyDescent="0.3">
      <c r="A425" t="s">
        <v>55</v>
      </c>
      <c r="B425" t="s">
        <v>1211</v>
      </c>
      <c r="C425">
        <v>1039.8699999999999</v>
      </c>
      <c r="D425">
        <v>43.19</v>
      </c>
    </row>
    <row r="426" spans="1:4" x14ac:dyDescent="0.3">
      <c r="A426" t="s">
        <v>55</v>
      </c>
      <c r="B426" t="s">
        <v>1662</v>
      </c>
      <c r="C426">
        <v>64.97</v>
      </c>
      <c r="D426">
        <v>12.99</v>
      </c>
    </row>
    <row r="427" spans="1:4" x14ac:dyDescent="0.3">
      <c r="A427" t="s">
        <v>55</v>
      </c>
      <c r="B427" t="s">
        <v>2069</v>
      </c>
      <c r="C427">
        <v>1115.6400000000001</v>
      </c>
      <c r="D427">
        <v>-125.2</v>
      </c>
    </row>
    <row r="428" spans="1:4" x14ac:dyDescent="0.3">
      <c r="A428" t="s">
        <v>569</v>
      </c>
      <c r="B428" t="s">
        <v>570</v>
      </c>
      <c r="C428">
        <v>888.97</v>
      </c>
      <c r="D428">
        <v>196.03</v>
      </c>
    </row>
    <row r="429" spans="1:4" x14ac:dyDescent="0.3">
      <c r="A429" t="s">
        <v>569</v>
      </c>
      <c r="B429" t="s">
        <v>870</v>
      </c>
      <c r="C429">
        <v>504.24</v>
      </c>
      <c r="D429">
        <v>88.24</v>
      </c>
    </row>
    <row r="430" spans="1:4" x14ac:dyDescent="0.3">
      <c r="A430" t="s">
        <v>569</v>
      </c>
      <c r="B430" t="s">
        <v>1742</v>
      </c>
      <c r="C430">
        <v>21.75</v>
      </c>
      <c r="D430">
        <v>8.1</v>
      </c>
    </row>
    <row r="431" spans="1:4" x14ac:dyDescent="0.3">
      <c r="A431" t="s">
        <v>569</v>
      </c>
      <c r="B431" t="s">
        <v>2150</v>
      </c>
      <c r="C431">
        <v>2033.5</v>
      </c>
      <c r="D431">
        <v>-456.7</v>
      </c>
    </row>
    <row r="432" spans="1:4" x14ac:dyDescent="0.3">
      <c r="A432" t="s">
        <v>566</v>
      </c>
      <c r="B432" t="s">
        <v>567</v>
      </c>
      <c r="C432">
        <v>899.3</v>
      </c>
      <c r="D432">
        <v>197.39</v>
      </c>
    </row>
    <row r="433" spans="1:4" x14ac:dyDescent="0.3">
      <c r="A433" t="s">
        <v>566</v>
      </c>
      <c r="B433" t="s">
        <v>654</v>
      </c>
      <c r="C433">
        <v>1010.78</v>
      </c>
      <c r="D433">
        <v>150.54</v>
      </c>
    </row>
    <row r="434" spans="1:4" x14ac:dyDescent="0.3">
      <c r="A434" t="s">
        <v>566</v>
      </c>
      <c r="B434" t="s">
        <v>1997</v>
      </c>
      <c r="C434">
        <v>1686.9</v>
      </c>
      <c r="D434">
        <v>-36.47</v>
      </c>
    </row>
    <row r="435" spans="1:4" x14ac:dyDescent="0.3">
      <c r="A435" t="s">
        <v>791</v>
      </c>
      <c r="B435" t="s">
        <v>792</v>
      </c>
      <c r="C435">
        <v>245.44</v>
      </c>
      <c r="D435">
        <v>106.31</v>
      </c>
    </row>
    <row r="436" spans="1:4" x14ac:dyDescent="0.3">
      <c r="A436" t="s">
        <v>791</v>
      </c>
      <c r="B436" t="s">
        <v>1632</v>
      </c>
      <c r="C436">
        <v>61.72</v>
      </c>
      <c r="D436">
        <v>14.4</v>
      </c>
    </row>
    <row r="437" spans="1:4" x14ac:dyDescent="0.3">
      <c r="A437" t="s">
        <v>272</v>
      </c>
      <c r="B437" t="s">
        <v>273</v>
      </c>
      <c r="C437">
        <v>3775.65</v>
      </c>
      <c r="D437">
        <v>541.65</v>
      </c>
    </row>
    <row r="438" spans="1:4" x14ac:dyDescent="0.3">
      <c r="A438" t="s">
        <v>272</v>
      </c>
      <c r="B438" t="s">
        <v>338</v>
      </c>
      <c r="C438">
        <v>1399.8</v>
      </c>
      <c r="D438">
        <v>429.74</v>
      </c>
    </row>
    <row r="439" spans="1:4" x14ac:dyDescent="0.3">
      <c r="A439" t="s">
        <v>272</v>
      </c>
      <c r="B439" t="s">
        <v>821</v>
      </c>
      <c r="C439">
        <v>291.45999999999998</v>
      </c>
      <c r="D439">
        <v>97.15</v>
      </c>
    </row>
    <row r="440" spans="1:4" x14ac:dyDescent="0.3">
      <c r="A440" t="s">
        <v>272</v>
      </c>
      <c r="B440" t="s">
        <v>1000</v>
      </c>
      <c r="C440">
        <v>169.83</v>
      </c>
      <c r="D440">
        <v>64.58</v>
      </c>
    </row>
    <row r="441" spans="1:4" x14ac:dyDescent="0.3">
      <c r="A441" t="s">
        <v>272</v>
      </c>
      <c r="B441" t="s">
        <v>1204</v>
      </c>
      <c r="C441">
        <v>101.59</v>
      </c>
      <c r="D441">
        <v>43.53</v>
      </c>
    </row>
    <row r="442" spans="1:4" x14ac:dyDescent="0.3">
      <c r="A442" t="s">
        <v>272</v>
      </c>
      <c r="B442" t="s">
        <v>1737</v>
      </c>
      <c r="C442">
        <v>18.309999999999999</v>
      </c>
      <c r="D442">
        <v>8.36</v>
      </c>
    </row>
    <row r="443" spans="1:4" x14ac:dyDescent="0.3">
      <c r="A443" t="s">
        <v>1877</v>
      </c>
      <c r="B443" t="s">
        <v>1878</v>
      </c>
      <c r="C443">
        <v>27.17</v>
      </c>
      <c r="D443">
        <v>-1.36</v>
      </c>
    </row>
    <row r="444" spans="1:4" x14ac:dyDescent="0.3">
      <c r="A444" t="s">
        <v>255</v>
      </c>
      <c r="B444" t="s">
        <v>256</v>
      </c>
      <c r="C444">
        <v>3044.16</v>
      </c>
      <c r="D444">
        <v>571.42999999999995</v>
      </c>
    </row>
    <row r="445" spans="1:4" x14ac:dyDescent="0.3">
      <c r="A445" t="s">
        <v>255</v>
      </c>
      <c r="B445" t="s">
        <v>1168</v>
      </c>
      <c r="C445">
        <v>115.43</v>
      </c>
      <c r="D445">
        <v>47.22</v>
      </c>
    </row>
    <row r="446" spans="1:4" x14ac:dyDescent="0.3">
      <c r="A446" t="s">
        <v>255</v>
      </c>
      <c r="B446" t="s">
        <v>1526</v>
      </c>
      <c r="C446">
        <v>73.150000000000006</v>
      </c>
      <c r="D446">
        <v>20.74</v>
      </c>
    </row>
    <row r="447" spans="1:4" x14ac:dyDescent="0.3">
      <c r="A447" t="s">
        <v>1938</v>
      </c>
      <c r="B447" t="s">
        <v>1939</v>
      </c>
      <c r="C447">
        <v>108.94</v>
      </c>
      <c r="D447">
        <v>-11.21</v>
      </c>
    </row>
    <row r="448" spans="1:4" x14ac:dyDescent="0.3">
      <c r="A448" t="s">
        <v>2152</v>
      </c>
      <c r="B448" t="s">
        <v>2153</v>
      </c>
      <c r="C448">
        <v>3223</v>
      </c>
      <c r="D448">
        <v>-461.33</v>
      </c>
    </row>
    <row r="449" spans="1:4" x14ac:dyDescent="0.3">
      <c r="A449" t="s">
        <v>584</v>
      </c>
      <c r="B449" t="s">
        <v>585</v>
      </c>
      <c r="C449">
        <v>591.85</v>
      </c>
      <c r="D449">
        <v>183.95</v>
      </c>
    </row>
    <row r="450" spans="1:4" x14ac:dyDescent="0.3">
      <c r="A450" t="s">
        <v>584</v>
      </c>
      <c r="B450" t="s">
        <v>770</v>
      </c>
      <c r="C450">
        <v>1113.02</v>
      </c>
      <c r="D450">
        <v>111.3</v>
      </c>
    </row>
    <row r="451" spans="1:4" x14ac:dyDescent="0.3">
      <c r="A451" t="s">
        <v>269</v>
      </c>
      <c r="B451" t="s">
        <v>270</v>
      </c>
      <c r="C451">
        <v>1279.08</v>
      </c>
      <c r="D451">
        <v>547.67999999999995</v>
      </c>
    </row>
    <row r="452" spans="1:4" x14ac:dyDescent="0.3">
      <c r="A452" t="s">
        <v>269</v>
      </c>
      <c r="B452" t="s">
        <v>1050</v>
      </c>
      <c r="C452">
        <v>276.66000000000003</v>
      </c>
      <c r="D452">
        <v>58.02</v>
      </c>
    </row>
    <row r="453" spans="1:4" x14ac:dyDescent="0.3">
      <c r="A453" t="s">
        <v>269</v>
      </c>
      <c r="B453" t="s">
        <v>1278</v>
      </c>
      <c r="C453">
        <v>927.77</v>
      </c>
      <c r="D453">
        <v>37.99</v>
      </c>
    </row>
    <row r="454" spans="1:4" x14ac:dyDescent="0.3">
      <c r="A454" t="s">
        <v>269</v>
      </c>
      <c r="B454" t="s">
        <v>1383</v>
      </c>
      <c r="C454">
        <v>82.37</v>
      </c>
      <c r="D454">
        <v>29.86</v>
      </c>
    </row>
    <row r="455" spans="1:4" x14ac:dyDescent="0.3">
      <c r="A455" t="s">
        <v>269</v>
      </c>
      <c r="B455" t="s">
        <v>1575</v>
      </c>
      <c r="C455">
        <v>546.19000000000005</v>
      </c>
      <c r="D455">
        <v>17.45</v>
      </c>
    </row>
    <row r="456" spans="1:4" x14ac:dyDescent="0.3">
      <c r="A456" t="s">
        <v>269</v>
      </c>
      <c r="B456" t="s">
        <v>1611</v>
      </c>
      <c r="C456">
        <v>36.11</v>
      </c>
      <c r="D456">
        <v>15.33</v>
      </c>
    </row>
    <row r="457" spans="1:4" x14ac:dyDescent="0.3">
      <c r="A457" t="s">
        <v>818</v>
      </c>
      <c r="B457" t="s">
        <v>819</v>
      </c>
      <c r="C457">
        <v>213.19</v>
      </c>
      <c r="D457">
        <v>97.52</v>
      </c>
    </row>
    <row r="458" spans="1:4" x14ac:dyDescent="0.3">
      <c r="A458" t="s">
        <v>818</v>
      </c>
      <c r="B458" t="s">
        <v>1070</v>
      </c>
      <c r="C458">
        <v>952.17</v>
      </c>
      <c r="D458">
        <v>55.38</v>
      </c>
    </row>
    <row r="459" spans="1:4" x14ac:dyDescent="0.3">
      <c r="A459" t="s">
        <v>970</v>
      </c>
      <c r="B459" t="s">
        <v>971</v>
      </c>
      <c r="C459">
        <v>147.74</v>
      </c>
      <c r="D459">
        <v>68.430000000000007</v>
      </c>
    </row>
    <row r="460" spans="1:4" x14ac:dyDescent="0.3">
      <c r="A460" t="s">
        <v>1538</v>
      </c>
      <c r="B460" t="s">
        <v>1539</v>
      </c>
      <c r="C460">
        <v>75.349999999999994</v>
      </c>
      <c r="D460">
        <v>20.09</v>
      </c>
    </row>
    <row r="461" spans="1:4" x14ac:dyDescent="0.3">
      <c r="A461" t="s">
        <v>82</v>
      </c>
      <c r="B461" t="s">
        <v>83</v>
      </c>
      <c r="C461">
        <v>3959.93</v>
      </c>
      <c r="D461">
        <v>1691.97</v>
      </c>
    </row>
    <row r="462" spans="1:4" x14ac:dyDescent="0.3">
      <c r="A462" t="s">
        <v>82</v>
      </c>
      <c r="B462" t="s">
        <v>526</v>
      </c>
      <c r="C462">
        <v>543.6</v>
      </c>
      <c r="D462">
        <v>228.31</v>
      </c>
    </row>
    <row r="463" spans="1:4" x14ac:dyDescent="0.3">
      <c r="A463" t="s">
        <v>82</v>
      </c>
      <c r="B463" t="s">
        <v>862</v>
      </c>
      <c r="C463">
        <v>475.13</v>
      </c>
      <c r="D463">
        <v>89.75</v>
      </c>
    </row>
    <row r="464" spans="1:4" x14ac:dyDescent="0.3">
      <c r="A464" t="s">
        <v>82</v>
      </c>
      <c r="B464" t="s">
        <v>921</v>
      </c>
      <c r="C464">
        <v>345.83</v>
      </c>
      <c r="D464">
        <v>77.13</v>
      </c>
    </row>
    <row r="465" spans="1:4" x14ac:dyDescent="0.3">
      <c r="A465" t="s">
        <v>82</v>
      </c>
      <c r="B465" t="s">
        <v>1655</v>
      </c>
      <c r="C465">
        <v>59.82</v>
      </c>
      <c r="D465">
        <v>13.18</v>
      </c>
    </row>
    <row r="466" spans="1:4" x14ac:dyDescent="0.3">
      <c r="A466" t="s">
        <v>205</v>
      </c>
      <c r="B466" t="s">
        <v>206</v>
      </c>
      <c r="C466">
        <v>1641.15</v>
      </c>
      <c r="D466">
        <v>722.11</v>
      </c>
    </row>
    <row r="467" spans="1:4" x14ac:dyDescent="0.3">
      <c r="A467" t="s">
        <v>383</v>
      </c>
      <c r="B467" t="s">
        <v>384</v>
      </c>
      <c r="C467">
        <v>1073.9000000000001</v>
      </c>
      <c r="D467">
        <v>364.72</v>
      </c>
    </row>
    <row r="468" spans="1:4" x14ac:dyDescent="0.3">
      <c r="A468" t="s">
        <v>383</v>
      </c>
      <c r="B468" t="s">
        <v>1322</v>
      </c>
      <c r="C468">
        <v>196.35</v>
      </c>
      <c r="D468">
        <v>34.65</v>
      </c>
    </row>
    <row r="469" spans="1:4" x14ac:dyDescent="0.3">
      <c r="A469" t="s">
        <v>383</v>
      </c>
      <c r="B469" t="s">
        <v>1614</v>
      </c>
      <c r="C469">
        <v>86</v>
      </c>
      <c r="D469">
        <v>15.1</v>
      </c>
    </row>
    <row r="470" spans="1:4" x14ac:dyDescent="0.3">
      <c r="A470" t="s">
        <v>383</v>
      </c>
      <c r="B470" t="s">
        <v>1860</v>
      </c>
      <c r="C470">
        <v>27.19</v>
      </c>
      <c r="D470">
        <v>0.34</v>
      </c>
    </row>
    <row r="471" spans="1:4" x14ac:dyDescent="0.3">
      <c r="A471" t="s">
        <v>2154</v>
      </c>
      <c r="B471" t="s">
        <v>2155</v>
      </c>
      <c r="C471">
        <v>2339.98</v>
      </c>
      <c r="D471">
        <v>-468</v>
      </c>
    </row>
    <row r="472" spans="1:4" x14ac:dyDescent="0.3">
      <c r="A472" t="s">
        <v>1125</v>
      </c>
      <c r="B472" t="s">
        <v>1126</v>
      </c>
      <c r="C472">
        <v>114.82</v>
      </c>
      <c r="D472">
        <v>50.39</v>
      </c>
    </row>
    <row r="473" spans="1:4" x14ac:dyDescent="0.3">
      <c r="A473" t="s">
        <v>544</v>
      </c>
      <c r="B473" t="s">
        <v>545</v>
      </c>
      <c r="C473">
        <v>910.66</v>
      </c>
      <c r="D473">
        <v>207.87</v>
      </c>
    </row>
    <row r="474" spans="1:4" x14ac:dyDescent="0.3">
      <c r="A474" t="s">
        <v>544</v>
      </c>
      <c r="B474" t="s">
        <v>586</v>
      </c>
      <c r="C474">
        <v>455.07</v>
      </c>
      <c r="D474">
        <v>183.13</v>
      </c>
    </row>
    <row r="475" spans="1:4" x14ac:dyDescent="0.3">
      <c r="A475" t="s">
        <v>544</v>
      </c>
      <c r="B475" t="s">
        <v>1266</v>
      </c>
      <c r="C475">
        <v>671.14</v>
      </c>
      <c r="D475">
        <v>39.1</v>
      </c>
    </row>
    <row r="476" spans="1:4" x14ac:dyDescent="0.3">
      <c r="A476" t="s">
        <v>544</v>
      </c>
      <c r="B476" t="s">
        <v>1483</v>
      </c>
      <c r="C476">
        <v>47.81</v>
      </c>
      <c r="D476">
        <v>22.84</v>
      </c>
    </row>
    <row r="477" spans="1:4" x14ac:dyDescent="0.3">
      <c r="A477" t="s">
        <v>523</v>
      </c>
      <c r="B477" t="s">
        <v>524</v>
      </c>
      <c r="C477">
        <v>638.19000000000005</v>
      </c>
      <c r="D477">
        <v>229.25</v>
      </c>
    </row>
    <row r="478" spans="1:4" x14ac:dyDescent="0.3">
      <c r="A478" t="s">
        <v>216</v>
      </c>
      <c r="B478" t="s">
        <v>217</v>
      </c>
      <c r="C478">
        <v>2157.83</v>
      </c>
      <c r="D478">
        <v>699.35</v>
      </c>
    </row>
    <row r="479" spans="1:4" x14ac:dyDescent="0.3">
      <c r="A479" t="s">
        <v>216</v>
      </c>
      <c r="B479" t="s">
        <v>1582</v>
      </c>
      <c r="C479">
        <v>41.3</v>
      </c>
      <c r="D479">
        <v>16.77</v>
      </c>
    </row>
    <row r="480" spans="1:4" x14ac:dyDescent="0.3">
      <c r="A480" t="s">
        <v>216</v>
      </c>
      <c r="B480" t="s">
        <v>1653</v>
      </c>
      <c r="C480">
        <v>75.489999999999995</v>
      </c>
      <c r="D480">
        <v>13.42</v>
      </c>
    </row>
    <row r="481" spans="1:4" x14ac:dyDescent="0.3">
      <c r="A481" t="s">
        <v>1422</v>
      </c>
      <c r="B481" t="s">
        <v>1423</v>
      </c>
      <c r="C481">
        <v>88.9</v>
      </c>
      <c r="D481">
        <v>26.85</v>
      </c>
    </row>
    <row r="482" spans="1:4" x14ac:dyDescent="0.3">
      <c r="A482" t="s">
        <v>1422</v>
      </c>
      <c r="B482" t="s">
        <v>1779</v>
      </c>
      <c r="C482">
        <v>17.64</v>
      </c>
      <c r="D482">
        <v>5.75</v>
      </c>
    </row>
    <row r="483" spans="1:4" x14ac:dyDescent="0.3">
      <c r="A483" t="s">
        <v>67</v>
      </c>
      <c r="B483" t="s">
        <v>68</v>
      </c>
      <c r="C483">
        <v>19823.48</v>
      </c>
      <c r="D483">
        <v>2233.5100000000002</v>
      </c>
    </row>
    <row r="484" spans="1:4" x14ac:dyDescent="0.3">
      <c r="A484" t="s">
        <v>67</v>
      </c>
      <c r="B484" t="s">
        <v>718</v>
      </c>
      <c r="C484">
        <v>803.46</v>
      </c>
      <c r="D484">
        <v>125.02</v>
      </c>
    </row>
    <row r="485" spans="1:4" x14ac:dyDescent="0.3">
      <c r="A485" t="s">
        <v>67</v>
      </c>
      <c r="B485" t="s">
        <v>1073</v>
      </c>
      <c r="C485">
        <v>136.82</v>
      </c>
      <c r="D485">
        <v>55.33</v>
      </c>
    </row>
    <row r="486" spans="1:4" x14ac:dyDescent="0.3">
      <c r="A486" t="s">
        <v>2083</v>
      </c>
      <c r="B486" t="s">
        <v>2084</v>
      </c>
      <c r="C486">
        <v>3253.22</v>
      </c>
      <c r="D486">
        <v>-164.72</v>
      </c>
    </row>
    <row r="487" spans="1:4" x14ac:dyDescent="0.3">
      <c r="A487" t="s">
        <v>2083</v>
      </c>
      <c r="B487" t="s">
        <v>2139</v>
      </c>
      <c r="C487">
        <v>5098.18</v>
      </c>
      <c r="D487">
        <v>-404.01</v>
      </c>
    </row>
    <row r="488" spans="1:4" x14ac:dyDescent="0.3">
      <c r="A488" t="s">
        <v>1657</v>
      </c>
      <c r="B488" t="s">
        <v>1658</v>
      </c>
      <c r="C488">
        <v>43.75</v>
      </c>
      <c r="D488">
        <v>13.13</v>
      </c>
    </row>
    <row r="489" spans="1:4" x14ac:dyDescent="0.3">
      <c r="A489" t="s">
        <v>76</v>
      </c>
      <c r="B489" t="s">
        <v>77</v>
      </c>
      <c r="C489">
        <v>12325.75</v>
      </c>
      <c r="D489">
        <v>1970.39</v>
      </c>
    </row>
    <row r="490" spans="1:4" x14ac:dyDescent="0.3">
      <c r="A490" t="s">
        <v>76</v>
      </c>
      <c r="B490" t="s">
        <v>175</v>
      </c>
      <c r="C490">
        <v>5291.73</v>
      </c>
      <c r="D490">
        <v>838.84</v>
      </c>
    </row>
    <row r="491" spans="1:4" x14ac:dyDescent="0.3">
      <c r="A491" t="s">
        <v>76</v>
      </c>
      <c r="B491" t="s">
        <v>201</v>
      </c>
      <c r="C491">
        <v>4044.39</v>
      </c>
      <c r="D491">
        <v>733.28</v>
      </c>
    </row>
    <row r="492" spans="1:4" x14ac:dyDescent="0.3">
      <c r="A492" t="s">
        <v>76</v>
      </c>
      <c r="B492" t="s">
        <v>393</v>
      </c>
      <c r="C492">
        <v>3540.35</v>
      </c>
      <c r="D492">
        <v>354.03</v>
      </c>
    </row>
    <row r="493" spans="1:4" x14ac:dyDescent="0.3">
      <c r="A493" t="s">
        <v>76</v>
      </c>
      <c r="B493" t="s">
        <v>469</v>
      </c>
      <c r="C493">
        <v>610.98</v>
      </c>
      <c r="D493">
        <v>274.94</v>
      </c>
    </row>
    <row r="494" spans="1:4" x14ac:dyDescent="0.3">
      <c r="A494" t="s">
        <v>76</v>
      </c>
      <c r="B494" t="s">
        <v>547</v>
      </c>
      <c r="C494">
        <v>1776.05</v>
      </c>
      <c r="D494">
        <v>207.02</v>
      </c>
    </row>
    <row r="495" spans="1:4" x14ac:dyDescent="0.3">
      <c r="A495" t="s">
        <v>76</v>
      </c>
      <c r="B495" t="s">
        <v>920</v>
      </c>
      <c r="C495">
        <v>181.46</v>
      </c>
      <c r="D495">
        <v>77.63</v>
      </c>
    </row>
    <row r="496" spans="1:4" x14ac:dyDescent="0.3">
      <c r="A496" t="s">
        <v>76</v>
      </c>
      <c r="B496" t="s">
        <v>979</v>
      </c>
      <c r="C496">
        <v>477.3</v>
      </c>
      <c r="D496">
        <v>67.709999999999994</v>
      </c>
    </row>
    <row r="497" spans="1:4" x14ac:dyDescent="0.3">
      <c r="A497" t="s">
        <v>76</v>
      </c>
      <c r="B497" t="s">
        <v>1190</v>
      </c>
      <c r="C497">
        <v>171.04</v>
      </c>
      <c r="D497">
        <v>44.47</v>
      </c>
    </row>
    <row r="498" spans="1:4" x14ac:dyDescent="0.3">
      <c r="A498" t="s">
        <v>76</v>
      </c>
      <c r="B498" t="s">
        <v>1405</v>
      </c>
      <c r="C498">
        <v>66.08</v>
      </c>
      <c r="D498">
        <v>28.17</v>
      </c>
    </row>
    <row r="499" spans="1:4" x14ac:dyDescent="0.3">
      <c r="A499" t="s">
        <v>76</v>
      </c>
      <c r="B499" t="s">
        <v>1408</v>
      </c>
      <c r="C499">
        <v>84.83</v>
      </c>
      <c r="D499">
        <v>28.05</v>
      </c>
    </row>
    <row r="500" spans="1:4" x14ac:dyDescent="0.3">
      <c r="A500" t="s">
        <v>76</v>
      </c>
      <c r="B500" t="s">
        <v>1602</v>
      </c>
      <c r="C500">
        <v>75.62</v>
      </c>
      <c r="D500">
        <v>15.62</v>
      </c>
    </row>
    <row r="501" spans="1:4" x14ac:dyDescent="0.3">
      <c r="A501" t="s">
        <v>76</v>
      </c>
      <c r="B501" t="s">
        <v>1654</v>
      </c>
      <c r="C501">
        <v>37.93</v>
      </c>
      <c r="D501">
        <v>13.21</v>
      </c>
    </row>
    <row r="502" spans="1:4" x14ac:dyDescent="0.3">
      <c r="A502" t="s">
        <v>76</v>
      </c>
      <c r="B502" t="s">
        <v>1935</v>
      </c>
      <c r="C502">
        <v>197.61</v>
      </c>
      <c r="D502">
        <v>-10.35</v>
      </c>
    </row>
    <row r="503" spans="1:4" x14ac:dyDescent="0.3">
      <c r="A503" t="s">
        <v>76</v>
      </c>
      <c r="B503" t="s">
        <v>2124</v>
      </c>
      <c r="C503">
        <v>5398.32</v>
      </c>
      <c r="D503">
        <v>-304.99</v>
      </c>
    </row>
    <row r="504" spans="1:4" x14ac:dyDescent="0.3">
      <c r="A504" t="s">
        <v>76</v>
      </c>
      <c r="B504" t="s">
        <v>2170</v>
      </c>
      <c r="C504">
        <v>4199.46</v>
      </c>
      <c r="D504">
        <v>-635.44000000000005</v>
      </c>
    </row>
    <row r="505" spans="1:4" x14ac:dyDescent="0.3">
      <c r="A505" t="s">
        <v>309</v>
      </c>
      <c r="B505" t="s">
        <v>310</v>
      </c>
      <c r="C505">
        <v>2954.44</v>
      </c>
      <c r="D505">
        <v>489.64</v>
      </c>
    </row>
    <row r="506" spans="1:4" x14ac:dyDescent="0.3">
      <c r="A506" t="s">
        <v>309</v>
      </c>
      <c r="B506" t="s">
        <v>1417</v>
      </c>
      <c r="C506">
        <v>424.9</v>
      </c>
      <c r="D506">
        <v>27.19</v>
      </c>
    </row>
    <row r="507" spans="1:4" x14ac:dyDescent="0.3">
      <c r="A507" t="s">
        <v>309</v>
      </c>
      <c r="B507" t="s">
        <v>1758</v>
      </c>
      <c r="C507">
        <v>15.62</v>
      </c>
      <c r="D507">
        <v>7.08</v>
      </c>
    </row>
    <row r="508" spans="1:4" x14ac:dyDescent="0.3">
      <c r="A508" t="s">
        <v>2044</v>
      </c>
      <c r="B508" t="s">
        <v>2045</v>
      </c>
      <c r="C508">
        <v>1072.3399999999999</v>
      </c>
      <c r="D508">
        <v>-78.36</v>
      </c>
    </row>
    <row r="509" spans="1:4" x14ac:dyDescent="0.3">
      <c r="A509" t="s">
        <v>500</v>
      </c>
      <c r="B509" t="s">
        <v>501</v>
      </c>
      <c r="C509">
        <v>1685.44</v>
      </c>
      <c r="D509">
        <v>244.39</v>
      </c>
    </row>
    <row r="510" spans="1:4" x14ac:dyDescent="0.3">
      <c r="A510" t="s">
        <v>500</v>
      </c>
      <c r="B510" t="s">
        <v>1033</v>
      </c>
      <c r="C510">
        <v>182.72</v>
      </c>
      <c r="D510">
        <v>59.38</v>
      </c>
    </row>
    <row r="511" spans="1:4" x14ac:dyDescent="0.3">
      <c r="A511" t="s">
        <v>500</v>
      </c>
      <c r="B511" t="s">
        <v>1824</v>
      </c>
      <c r="C511">
        <v>9.2200000000000006</v>
      </c>
      <c r="D511">
        <v>3.34</v>
      </c>
    </row>
    <row r="512" spans="1:4" x14ac:dyDescent="0.3">
      <c r="A512" t="s">
        <v>1453</v>
      </c>
      <c r="B512" t="s">
        <v>1454</v>
      </c>
      <c r="C512">
        <v>748.86</v>
      </c>
      <c r="D512">
        <v>24.16</v>
      </c>
    </row>
    <row r="513" spans="1:4" x14ac:dyDescent="0.3">
      <c r="A513" t="s">
        <v>1337</v>
      </c>
      <c r="B513" t="s">
        <v>1338</v>
      </c>
      <c r="C513">
        <v>491.84</v>
      </c>
      <c r="D513">
        <v>32.99</v>
      </c>
    </row>
    <row r="514" spans="1:4" x14ac:dyDescent="0.3">
      <c r="A514" t="s">
        <v>148</v>
      </c>
      <c r="B514" t="s">
        <v>149</v>
      </c>
      <c r="C514">
        <v>5906.03</v>
      </c>
      <c r="D514">
        <v>1052.81</v>
      </c>
    </row>
    <row r="515" spans="1:4" x14ac:dyDescent="0.3">
      <c r="A515" t="s">
        <v>148</v>
      </c>
      <c r="B515" t="s">
        <v>235</v>
      </c>
      <c r="C515">
        <v>1555.75</v>
      </c>
      <c r="D515">
        <v>632.26</v>
      </c>
    </row>
    <row r="516" spans="1:4" x14ac:dyDescent="0.3">
      <c r="A516" t="s">
        <v>148</v>
      </c>
      <c r="B516" t="s">
        <v>241</v>
      </c>
      <c r="C516">
        <v>1434.65</v>
      </c>
      <c r="D516">
        <v>619.36</v>
      </c>
    </row>
    <row r="517" spans="1:4" x14ac:dyDescent="0.3">
      <c r="A517" t="s">
        <v>148</v>
      </c>
      <c r="B517" t="s">
        <v>264</v>
      </c>
      <c r="C517">
        <v>1360.48</v>
      </c>
      <c r="D517">
        <v>559.30999999999995</v>
      </c>
    </row>
    <row r="518" spans="1:4" x14ac:dyDescent="0.3">
      <c r="A518" t="s">
        <v>148</v>
      </c>
      <c r="B518" t="s">
        <v>311</v>
      </c>
      <c r="C518">
        <v>4619.99</v>
      </c>
      <c r="D518">
        <v>486.16</v>
      </c>
    </row>
    <row r="519" spans="1:4" x14ac:dyDescent="0.3">
      <c r="A519" t="s">
        <v>148</v>
      </c>
      <c r="B519" t="s">
        <v>325</v>
      </c>
      <c r="C519">
        <v>1016.79</v>
      </c>
      <c r="D519">
        <v>453.76</v>
      </c>
    </row>
    <row r="520" spans="1:4" x14ac:dyDescent="0.3">
      <c r="A520" t="s">
        <v>148</v>
      </c>
      <c r="B520" t="s">
        <v>344</v>
      </c>
      <c r="C520">
        <v>2906.63</v>
      </c>
      <c r="D520">
        <v>422.48</v>
      </c>
    </row>
    <row r="521" spans="1:4" x14ac:dyDescent="0.3">
      <c r="A521" t="s">
        <v>148</v>
      </c>
      <c r="B521" t="s">
        <v>360</v>
      </c>
      <c r="C521">
        <v>909.98</v>
      </c>
      <c r="D521">
        <v>408.26</v>
      </c>
    </row>
    <row r="522" spans="1:4" x14ac:dyDescent="0.3">
      <c r="A522" t="s">
        <v>148</v>
      </c>
      <c r="B522" t="s">
        <v>389</v>
      </c>
      <c r="C522">
        <v>1690.82</v>
      </c>
      <c r="D522">
        <v>360.96</v>
      </c>
    </row>
    <row r="523" spans="1:4" x14ac:dyDescent="0.3">
      <c r="A523" t="s">
        <v>148</v>
      </c>
      <c r="B523" t="s">
        <v>399</v>
      </c>
      <c r="C523">
        <v>1007.15</v>
      </c>
      <c r="D523">
        <v>342.56</v>
      </c>
    </row>
    <row r="524" spans="1:4" x14ac:dyDescent="0.3">
      <c r="A524" t="s">
        <v>148</v>
      </c>
      <c r="B524" t="s">
        <v>411</v>
      </c>
      <c r="C524">
        <v>1100.48</v>
      </c>
      <c r="D524">
        <v>328.93</v>
      </c>
    </row>
    <row r="525" spans="1:4" x14ac:dyDescent="0.3">
      <c r="A525" t="s">
        <v>148</v>
      </c>
      <c r="B525" t="s">
        <v>487</v>
      </c>
      <c r="C525">
        <v>1169.6199999999999</v>
      </c>
      <c r="D525">
        <v>255.72</v>
      </c>
    </row>
    <row r="526" spans="1:4" x14ac:dyDescent="0.3">
      <c r="A526" t="s">
        <v>148</v>
      </c>
      <c r="B526" t="s">
        <v>541</v>
      </c>
      <c r="C526">
        <v>3401.6</v>
      </c>
      <c r="D526">
        <v>210.47</v>
      </c>
    </row>
    <row r="527" spans="1:4" x14ac:dyDescent="0.3">
      <c r="A527" t="s">
        <v>148</v>
      </c>
      <c r="B527" t="s">
        <v>578</v>
      </c>
      <c r="C527">
        <v>531.95000000000005</v>
      </c>
      <c r="D527">
        <v>192.21</v>
      </c>
    </row>
    <row r="528" spans="1:4" x14ac:dyDescent="0.3">
      <c r="A528" t="s">
        <v>148</v>
      </c>
      <c r="B528" t="s">
        <v>632</v>
      </c>
      <c r="C528">
        <v>533.08000000000004</v>
      </c>
      <c r="D528">
        <v>160.22</v>
      </c>
    </row>
    <row r="529" spans="1:4" x14ac:dyDescent="0.3">
      <c r="A529" t="s">
        <v>148</v>
      </c>
      <c r="B529" t="s">
        <v>658</v>
      </c>
      <c r="C529">
        <v>611.71</v>
      </c>
      <c r="D529">
        <v>149.53</v>
      </c>
    </row>
    <row r="530" spans="1:4" x14ac:dyDescent="0.3">
      <c r="A530" t="s">
        <v>148</v>
      </c>
      <c r="B530" t="s">
        <v>692</v>
      </c>
      <c r="C530">
        <v>386.91</v>
      </c>
      <c r="D530">
        <v>133.27000000000001</v>
      </c>
    </row>
    <row r="531" spans="1:4" x14ac:dyDescent="0.3">
      <c r="A531" t="s">
        <v>148</v>
      </c>
      <c r="B531" t="s">
        <v>707</v>
      </c>
      <c r="C531">
        <v>1229.8399999999999</v>
      </c>
      <c r="D531">
        <v>127.48</v>
      </c>
    </row>
    <row r="532" spans="1:4" x14ac:dyDescent="0.3">
      <c r="A532" t="s">
        <v>148</v>
      </c>
      <c r="B532" t="s">
        <v>735</v>
      </c>
      <c r="C532">
        <v>280.56</v>
      </c>
      <c r="D532">
        <v>120.77</v>
      </c>
    </row>
    <row r="533" spans="1:4" x14ac:dyDescent="0.3">
      <c r="A533" t="s">
        <v>148</v>
      </c>
      <c r="B533" t="s">
        <v>747</v>
      </c>
      <c r="C533">
        <v>523.59</v>
      </c>
      <c r="D533">
        <v>118.23</v>
      </c>
    </row>
    <row r="534" spans="1:4" x14ac:dyDescent="0.3">
      <c r="A534" t="s">
        <v>148</v>
      </c>
      <c r="B534" t="s">
        <v>817</v>
      </c>
      <c r="C534">
        <v>334.37</v>
      </c>
      <c r="D534">
        <v>98.25</v>
      </c>
    </row>
    <row r="535" spans="1:4" x14ac:dyDescent="0.3">
      <c r="A535" t="s">
        <v>148</v>
      </c>
      <c r="B535" t="s">
        <v>822</v>
      </c>
      <c r="C535">
        <v>238.46</v>
      </c>
      <c r="D535">
        <v>96.94</v>
      </c>
    </row>
    <row r="536" spans="1:4" x14ac:dyDescent="0.3">
      <c r="A536" t="s">
        <v>148</v>
      </c>
      <c r="B536" t="s">
        <v>846</v>
      </c>
      <c r="C536">
        <v>248.29</v>
      </c>
      <c r="D536">
        <v>91.04</v>
      </c>
    </row>
    <row r="537" spans="1:4" x14ac:dyDescent="0.3">
      <c r="A537" t="s">
        <v>148</v>
      </c>
      <c r="B537" t="s">
        <v>885</v>
      </c>
      <c r="C537">
        <v>234.78</v>
      </c>
      <c r="D537">
        <v>84.81</v>
      </c>
    </row>
    <row r="538" spans="1:4" x14ac:dyDescent="0.3">
      <c r="A538" t="s">
        <v>148</v>
      </c>
      <c r="B538" t="s">
        <v>931</v>
      </c>
      <c r="C538">
        <v>216.34</v>
      </c>
      <c r="D538">
        <v>75.349999999999994</v>
      </c>
    </row>
    <row r="539" spans="1:4" x14ac:dyDescent="0.3">
      <c r="A539" t="s">
        <v>148</v>
      </c>
      <c r="B539" t="s">
        <v>951</v>
      </c>
      <c r="C539">
        <v>265.42</v>
      </c>
      <c r="D539">
        <v>72.08</v>
      </c>
    </row>
    <row r="540" spans="1:4" x14ac:dyDescent="0.3">
      <c r="A540" t="s">
        <v>148</v>
      </c>
      <c r="B540" t="s">
        <v>983</v>
      </c>
      <c r="C540">
        <v>575.82000000000005</v>
      </c>
      <c r="D540">
        <v>67.180000000000007</v>
      </c>
    </row>
    <row r="541" spans="1:4" x14ac:dyDescent="0.3">
      <c r="A541" t="s">
        <v>148</v>
      </c>
      <c r="B541" t="s">
        <v>1007</v>
      </c>
      <c r="C541">
        <v>176.29</v>
      </c>
      <c r="D541">
        <v>63.75</v>
      </c>
    </row>
    <row r="542" spans="1:4" x14ac:dyDescent="0.3">
      <c r="A542" t="s">
        <v>148</v>
      </c>
      <c r="B542" t="s">
        <v>1010</v>
      </c>
      <c r="C542">
        <v>143.86000000000001</v>
      </c>
      <c r="D542">
        <v>62.99</v>
      </c>
    </row>
    <row r="543" spans="1:4" x14ac:dyDescent="0.3">
      <c r="A543" t="s">
        <v>148</v>
      </c>
      <c r="B543" t="s">
        <v>1039</v>
      </c>
      <c r="C543">
        <v>138.53</v>
      </c>
      <c r="D543">
        <v>59.17</v>
      </c>
    </row>
    <row r="544" spans="1:4" x14ac:dyDescent="0.3">
      <c r="A544" t="s">
        <v>148</v>
      </c>
      <c r="B544" t="s">
        <v>1083</v>
      </c>
      <c r="C544">
        <v>136.34</v>
      </c>
      <c r="D544">
        <v>54.12</v>
      </c>
    </row>
    <row r="545" spans="1:4" x14ac:dyDescent="0.3">
      <c r="A545" t="s">
        <v>148</v>
      </c>
      <c r="B545" t="s">
        <v>1084</v>
      </c>
      <c r="C545">
        <v>152.13999999999999</v>
      </c>
      <c r="D545">
        <v>54.07</v>
      </c>
    </row>
    <row r="546" spans="1:4" x14ac:dyDescent="0.3">
      <c r="A546" t="s">
        <v>148</v>
      </c>
      <c r="B546" t="s">
        <v>1091</v>
      </c>
      <c r="C546">
        <v>194.54</v>
      </c>
      <c r="D546">
        <v>53.27</v>
      </c>
    </row>
    <row r="547" spans="1:4" x14ac:dyDescent="0.3">
      <c r="A547" t="s">
        <v>148</v>
      </c>
      <c r="B547" t="s">
        <v>1139</v>
      </c>
      <c r="C547">
        <v>597.13</v>
      </c>
      <c r="D547">
        <v>49.76</v>
      </c>
    </row>
    <row r="548" spans="1:4" x14ac:dyDescent="0.3">
      <c r="A548" t="s">
        <v>148</v>
      </c>
      <c r="B548" t="s">
        <v>1149</v>
      </c>
      <c r="C548">
        <v>1287.95</v>
      </c>
      <c r="D548">
        <v>48.85</v>
      </c>
    </row>
    <row r="549" spans="1:4" x14ac:dyDescent="0.3">
      <c r="A549" t="s">
        <v>148</v>
      </c>
      <c r="B549" t="s">
        <v>1191</v>
      </c>
      <c r="C549">
        <v>590.33000000000004</v>
      </c>
      <c r="D549">
        <v>44.27</v>
      </c>
    </row>
    <row r="550" spans="1:4" x14ac:dyDescent="0.3">
      <c r="A550" t="s">
        <v>148</v>
      </c>
      <c r="B550" t="s">
        <v>1241</v>
      </c>
      <c r="C550">
        <v>354.03</v>
      </c>
      <c r="D550">
        <v>41.2</v>
      </c>
    </row>
    <row r="551" spans="1:4" x14ac:dyDescent="0.3">
      <c r="A551" t="s">
        <v>148</v>
      </c>
      <c r="B551" t="s">
        <v>1248</v>
      </c>
      <c r="C551">
        <v>341.67</v>
      </c>
      <c r="D551">
        <v>40.200000000000003</v>
      </c>
    </row>
    <row r="552" spans="1:4" x14ac:dyDescent="0.3">
      <c r="A552" t="s">
        <v>148</v>
      </c>
      <c r="B552" t="s">
        <v>1304</v>
      </c>
      <c r="C552">
        <v>76.84</v>
      </c>
      <c r="D552">
        <v>36.4</v>
      </c>
    </row>
    <row r="553" spans="1:4" x14ac:dyDescent="0.3">
      <c r="A553" t="s">
        <v>148</v>
      </c>
      <c r="B553" t="s">
        <v>1307</v>
      </c>
      <c r="C553">
        <v>145.72999999999999</v>
      </c>
      <c r="D553">
        <v>35.869999999999997</v>
      </c>
    </row>
    <row r="554" spans="1:4" x14ac:dyDescent="0.3">
      <c r="A554" t="s">
        <v>148</v>
      </c>
      <c r="B554" t="s">
        <v>1312</v>
      </c>
      <c r="C554">
        <v>197.83</v>
      </c>
      <c r="D554">
        <v>35.33</v>
      </c>
    </row>
    <row r="555" spans="1:4" x14ac:dyDescent="0.3">
      <c r="A555" t="s">
        <v>148</v>
      </c>
      <c r="B555" t="s">
        <v>1339</v>
      </c>
      <c r="C555">
        <v>80.94</v>
      </c>
      <c r="D555">
        <v>32.92</v>
      </c>
    </row>
    <row r="556" spans="1:4" x14ac:dyDescent="0.3">
      <c r="A556" t="s">
        <v>148</v>
      </c>
      <c r="B556" t="s">
        <v>1351</v>
      </c>
      <c r="C556">
        <v>84.48</v>
      </c>
      <c r="D556">
        <v>32.21</v>
      </c>
    </row>
    <row r="557" spans="1:4" x14ac:dyDescent="0.3">
      <c r="A557" t="s">
        <v>148</v>
      </c>
      <c r="B557" t="s">
        <v>1375</v>
      </c>
      <c r="C557">
        <v>69.98</v>
      </c>
      <c r="D557">
        <v>30.33</v>
      </c>
    </row>
    <row r="558" spans="1:4" x14ac:dyDescent="0.3">
      <c r="A558" t="s">
        <v>148</v>
      </c>
      <c r="B558" t="s">
        <v>1489</v>
      </c>
      <c r="C558">
        <v>140.72999999999999</v>
      </c>
      <c r="D558">
        <v>22.51</v>
      </c>
    </row>
    <row r="559" spans="1:4" x14ac:dyDescent="0.3">
      <c r="A559" t="s">
        <v>148</v>
      </c>
      <c r="B559" t="s">
        <v>1553</v>
      </c>
      <c r="C559">
        <v>38.979999999999997</v>
      </c>
      <c r="D559">
        <v>18.82</v>
      </c>
    </row>
    <row r="560" spans="1:4" x14ac:dyDescent="0.3">
      <c r="A560" t="s">
        <v>148</v>
      </c>
      <c r="B560" t="s">
        <v>1563</v>
      </c>
      <c r="C560">
        <v>85.73</v>
      </c>
      <c r="D560">
        <v>18.059999999999999</v>
      </c>
    </row>
    <row r="561" spans="1:4" x14ac:dyDescent="0.3">
      <c r="A561" t="s">
        <v>148</v>
      </c>
      <c r="B561" t="s">
        <v>1620</v>
      </c>
      <c r="C561">
        <v>5492.89</v>
      </c>
      <c r="D561">
        <v>15.05</v>
      </c>
    </row>
    <row r="562" spans="1:4" x14ac:dyDescent="0.3">
      <c r="A562" t="s">
        <v>148</v>
      </c>
      <c r="B562" t="s">
        <v>1669</v>
      </c>
      <c r="C562">
        <v>81.42</v>
      </c>
      <c r="D562">
        <v>12.43</v>
      </c>
    </row>
    <row r="563" spans="1:4" x14ac:dyDescent="0.3">
      <c r="A563" t="s">
        <v>148</v>
      </c>
      <c r="B563" t="s">
        <v>1671</v>
      </c>
      <c r="C563">
        <v>29.2</v>
      </c>
      <c r="D563">
        <v>12.16</v>
      </c>
    </row>
    <row r="564" spans="1:4" x14ac:dyDescent="0.3">
      <c r="A564" t="s">
        <v>148</v>
      </c>
      <c r="B564" t="s">
        <v>1715</v>
      </c>
      <c r="C564">
        <v>25.92</v>
      </c>
      <c r="D564">
        <v>9.07</v>
      </c>
    </row>
    <row r="565" spans="1:4" x14ac:dyDescent="0.3">
      <c r="A565" t="s">
        <v>148</v>
      </c>
      <c r="B565" t="s">
        <v>1727</v>
      </c>
      <c r="C565">
        <v>72.81</v>
      </c>
      <c r="D565">
        <v>8.64</v>
      </c>
    </row>
    <row r="566" spans="1:4" x14ac:dyDescent="0.3">
      <c r="A566" t="s">
        <v>148</v>
      </c>
      <c r="B566" t="s">
        <v>1794</v>
      </c>
      <c r="C566">
        <v>13</v>
      </c>
      <c r="D566">
        <v>5.14</v>
      </c>
    </row>
    <row r="567" spans="1:4" x14ac:dyDescent="0.3">
      <c r="A567" t="s">
        <v>148</v>
      </c>
      <c r="B567" t="s">
        <v>1795</v>
      </c>
      <c r="C567">
        <v>265.54000000000002</v>
      </c>
      <c r="D567">
        <v>5.1100000000000003</v>
      </c>
    </row>
    <row r="568" spans="1:4" x14ac:dyDescent="0.3">
      <c r="A568" t="s">
        <v>148</v>
      </c>
      <c r="B568" t="s">
        <v>1830</v>
      </c>
      <c r="C568">
        <v>18.2</v>
      </c>
      <c r="D568">
        <v>3.02</v>
      </c>
    </row>
    <row r="569" spans="1:4" x14ac:dyDescent="0.3">
      <c r="A569" t="s">
        <v>148</v>
      </c>
      <c r="B569" t="s">
        <v>1856</v>
      </c>
      <c r="C569">
        <v>19.7</v>
      </c>
      <c r="D569">
        <v>0.79</v>
      </c>
    </row>
    <row r="570" spans="1:4" x14ac:dyDescent="0.3">
      <c r="A570" t="s">
        <v>148</v>
      </c>
      <c r="B570" t="s">
        <v>1875</v>
      </c>
      <c r="C570">
        <v>29.95</v>
      </c>
      <c r="D570">
        <v>-0.92</v>
      </c>
    </row>
    <row r="571" spans="1:4" x14ac:dyDescent="0.3">
      <c r="A571" t="s">
        <v>148</v>
      </c>
      <c r="B571" t="s">
        <v>1891</v>
      </c>
      <c r="C571">
        <v>143.01</v>
      </c>
      <c r="D571">
        <v>-2.1800000000000002</v>
      </c>
    </row>
    <row r="572" spans="1:4" x14ac:dyDescent="0.3">
      <c r="A572" t="s">
        <v>148</v>
      </c>
      <c r="B572" t="s">
        <v>1911</v>
      </c>
      <c r="C572">
        <v>25.83</v>
      </c>
      <c r="D572">
        <v>-4.92</v>
      </c>
    </row>
    <row r="573" spans="1:4" x14ac:dyDescent="0.3">
      <c r="A573" t="s">
        <v>148</v>
      </c>
      <c r="B573" t="s">
        <v>1931</v>
      </c>
      <c r="C573">
        <v>1023.35</v>
      </c>
      <c r="D573">
        <v>-9.3000000000000007</v>
      </c>
    </row>
    <row r="574" spans="1:4" x14ac:dyDescent="0.3">
      <c r="A574" t="s">
        <v>148</v>
      </c>
      <c r="B574" t="s">
        <v>1951</v>
      </c>
      <c r="C574">
        <v>1426.31</v>
      </c>
      <c r="D574">
        <v>-12.79</v>
      </c>
    </row>
    <row r="575" spans="1:4" x14ac:dyDescent="0.3">
      <c r="A575" t="s">
        <v>148</v>
      </c>
      <c r="B575" t="s">
        <v>1953</v>
      </c>
      <c r="C575">
        <v>72.91</v>
      </c>
      <c r="D575">
        <v>-13.33</v>
      </c>
    </row>
    <row r="576" spans="1:4" x14ac:dyDescent="0.3">
      <c r="A576" t="s">
        <v>148</v>
      </c>
      <c r="B576" t="s">
        <v>1983</v>
      </c>
      <c r="C576">
        <v>52.99</v>
      </c>
      <c r="D576">
        <v>-23.81</v>
      </c>
    </row>
    <row r="577" spans="1:4" x14ac:dyDescent="0.3">
      <c r="A577" t="s">
        <v>148</v>
      </c>
      <c r="B577" t="s">
        <v>2001</v>
      </c>
      <c r="C577">
        <v>519.94000000000005</v>
      </c>
      <c r="D577">
        <v>-39.44</v>
      </c>
    </row>
    <row r="578" spans="1:4" x14ac:dyDescent="0.3">
      <c r="A578" t="s">
        <v>148</v>
      </c>
      <c r="B578" t="s">
        <v>2046</v>
      </c>
      <c r="C578">
        <v>98.14</v>
      </c>
      <c r="D578">
        <v>-78.510000000000005</v>
      </c>
    </row>
    <row r="579" spans="1:4" x14ac:dyDescent="0.3">
      <c r="A579" t="s">
        <v>148</v>
      </c>
      <c r="B579" t="s">
        <v>2050</v>
      </c>
      <c r="C579">
        <v>834.6</v>
      </c>
      <c r="D579">
        <v>-82.18</v>
      </c>
    </row>
    <row r="580" spans="1:4" x14ac:dyDescent="0.3">
      <c r="A580" t="s">
        <v>148</v>
      </c>
      <c r="B580" t="s">
        <v>2082</v>
      </c>
      <c r="C580">
        <v>694.19</v>
      </c>
      <c r="D580">
        <v>-158.49</v>
      </c>
    </row>
    <row r="581" spans="1:4" x14ac:dyDescent="0.3">
      <c r="A581" t="s">
        <v>148</v>
      </c>
      <c r="B581" t="s">
        <v>2089</v>
      </c>
      <c r="C581">
        <v>2299.75</v>
      </c>
      <c r="D581">
        <v>-172.94</v>
      </c>
    </row>
    <row r="582" spans="1:4" x14ac:dyDescent="0.3">
      <c r="A582" t="s">
        <v>148</v>
      </c>
      <c r="B582" t="s">
        <v>2108</v>
      </c>
      <c r="C582">
        <v>1770.54</v>
      </c>
      <c r="D582">
        <v>-216.31</v>
      </c>
    </row>
    <row r="583" spans="1:4" x14ac:dyDescent="0.3">
      <c r="A583" t="s">
        <v>148</v>
      </c>
      <c r="B583" t="s">
        <v>2111</v>
      </c>
      <c r="C583">
        <v>1775.68</v>
      </c>
      <c r="D583">
        <v>-228.62</v>
      </c>
    </row>
    <row r="584" spans="1:4" x14ac:dyDescent="0.3">
      <c r="A584" t="s">
        <v>148</v>
      </c>
      <c r="B584" t="s">
        <v>2116</v>
      </c>
      <c r="C584">
        <v>2519.96</v>
      </c>
      <c r="D584">
        <v>-252</v>
      </c>
    </row>
    <row r="585" spans="1:4" x14ac:dyDescent="0.3">
      <c r="A585" t="s">
        <v>148</v>
      </c>
      <c r="B585" t="s">
        <v>2120</v>
      </c>
      <c r="C585">
        <v>1646.92</v>
      </c>
      <c r="D585">
        <v>-285.95</v>
      </c>
    </row>
    <row r="586" spans="1:4" x14ac:dyDescent="0.3">
      <c r="A586" t="s">
        <v>148</v>
      </c>
      <c r="B586" t="s">
        <v>2132</v>
      </c>
      <c r="C586">
        <v>1623.25</v>
      </c>
      <c r="D586">
        <v>-343.1</v>
      </c>
    </row>
    <row r="587" spans="1:4" x14ac:dyDescent="0.3">
      <c r="A587" t="s">
        <v>148</v>
      </c>
      <c r="B587" t="s">
        <v>2179</v>
      </c>
      <c r="C587">
        <v>2946.2</v>
      </c>
      <c r="D587">
        <v>-872.08</v>
      </c>
    </row>
    <row r="588" spans="1:4" x14ac:dyDescent="0.3">
      <c r="A588" t="s">
        <v>148</v>
      </c>
      <c r="B588" t="s">
        <v>2184</v>
      </c>
      <c r="C588">
        <v>1212.7</v>
      </c>
      <c r="D588">
        <v>-1057.23</v>
      </c>
    </row>
    <row r="589" spans="1:4" x14ac:dyDescent="0.3">
      <c r="A589" t="s">
        <v>148</v>
      </c>
      <c r="B589" t="s">
        <v>2185</v>
      </c>
      <c r="C589">
        <v>4446.18</v>
      </c>
      <c r="D589">
        <v>-1147.4000000000001</v>
      </c>
    </row>
    <row r="590" spans="1:4" x14ac:dyDescent="0.3">
      <c r="A590" t="s">
        <v>1298</v>
      </c>
      <c r="B590" t="s">
        <v>1299</v>
      </c>
      <c r="C590">
        <v>110.94</v>
      </c>
      <c r="D590">
        <v>36.64</v>
      </c>
    </row>
    <row r="591" spans="1:4" x14ac:dyDescent="0.3">
      <c r="A591" t="s">
        <v>1298</v>
      </c>
      <c r="B591" t="s">
        <v>1549</v>
      </c>
      <c r="C591">
        <v>44.37</v>
      </c>
      <c r="D591">
        <v>19</v>
      </c>
    </row>
    <row r="592" spans="1:4" x14ac:dyDescent="0.3">
      <c r="A592" t="s">
        <v>179</v>
      </c>
      <c r="B592" t="s">
        <v>180</v>
      </c>
      <c r="C592">
        <v>6584.64</v>
      </c>
      <c r="D592">
        <v>814.42</v>
      </c>
    </row>
    <row r="593" spans="1:4" x14ac:dyDescent="0.3">
      <c r="A593" t="s">
        <v>179</v>
      </c>
      <c r="B593" t="s">
        <v>379</v>
      </c>
      <c r="C593">
        <v>1636.86</v>
      </c>
      <c r="D593">
        <v>375.97</v>
      </c>
    </row>
    <row r="594" spans="1:4" x14ac:dyDescent="0.3">
      <c r="A594" t="s">
        <v>179</v>
      </c>
      <c r="B594" t="s">
        <v>550</v>
      </c>
      <c r="C594">
        <v>1073.1099999999999</v>
      </c>
      <c r="D594">
        <v>206.27</v>
      </c>
    </row>
    <row r="595" spans="1:4" x14ac:dyDescent="0.3">
      <c r="A595" t="s">
        <v>179</v>
      </c>
      <c r="B595" t="s">
        <v>1104</v>
      </c>
      <c r="C595">
        <v>239.94</v>
      </c>
      <c r="D595">
        <v>52.39</v>
      </c>
    </row>
    <row r="596" spans="1:4" x14ac:dyDescent="0.3">
      <c r="A596" t="s">
        <v>179</v>
      </c>
      <c r="B596" t="s">
        <v>1740</v>
      </c>
      <c r="C596">
        <v>46.94</v>
      </c>
      <c r="D596">
        <v>8.2200000000000006</v>
      </c>
    </row>
    <row r="597" spans="1:4" x14ac:dyDescent="0.3">
      <c r="A597" t="s">
        <v>179</v>
      </c>
      <c r="B597" t="s">
        <v>1751</v>
      </c>
      <c r="C597">
        <v>122.18</v>
      </c>
      <c r="D597">
        <v>7.45</v>
      </c>
    </row>
    <row r="598" spans="1:4" x14ac:dyDescent="0.3">
      <c r="A598" t="s">
        <v>294</v>
      </c>
      <c r="B598" t="s">
        <v>295</v>
      </c>
      <c r="C598">
        <v>4829.25</v>
      </c>
      <c r="D598">
        <v>509.97</v>
      </c>
    </row>
    <row r="599" spans="1:4" x14ac:dyDescent="0.3">
      <c r="A599" t="s">
        <v>294</v>
      </c>
      <c r="B599" t="s">
        <v>1306</v>
      </c>
      <c r="C599">
        <v>84.87</v>
      </c>
      <c r="D599">
        <v>35.979999999999997</v>
      </c>
    </row>
    <row r="600" spans="1:4" x14ac:dyDescent="0.3">
      <c r="A600" t="s">
        <v>1770</v>
      </c>
      <c r="B600" t="s">
        <v>1771</v>
      </c>
      <c r="C600">
        <v>17.64</v>
      </c>
      <c r="D600">
        <v>6.17</v>
      </c>
    </row>
    <row r="601" spans="1:4" x14ac:dyDescent="0.3">
      <c r="A601" t="s">
        <v>132</v>
      </c>
      <c r="B601" t="s">
        <v>133</v>
      </c>
      <c r="C601">
        <v>2755.4</v>
      </c>
      <c r="D601">
        <v>1184.82</v>
      </c>
    </row>
    <row r="602" spans="1:4" x14ac:dyDescent="0.3">
      <c r="A602" t="s">
        <v>132</v>
      </c>
      <c r="B602" t="s">
        <v>204</v>
      </c>
      <c r="C602">
        <v>2623.84</v>
      </c>
      <c r="D602">
        <v>723.15</v>
      </c>
    </row>
    <row r="603" spans="1:4" x14ac:dyDescent="0.3">
      <c r="A603" t="s">
        <v>132</v>
      </c>
      <c r="B603" t="s">
        <v>322</v>
      </c>
      <c r="C603">
        <v>960.8</v>
      </c>
      <c r="D603">
        <v>461.18</v>
      </c>
    </row>
    <row r="604" spans="1:4" x14ac:dyDescent="0.3">
      <c r="A604" t="s">
        <v>132</v>
      </c>
      <c r="B604" t="s">
        <v>635</v>
      </c>
      <c r="C604">
        <v>803.69</v>
      </c>
      <c r="D604">
        <v>157.71</v>
      </c>
    </row>
    <row r="605" spans="1:4" x14ac:dyDescent="0.3">
      <c r="A605" t="s">
        <v>132</v>
      </c>
      <c r="B605" t="s">
        <v>646</v>
      </c>
      <c r="C605">
        <v>2155.9</v>
      </c>
      <c r="D605">
        <v>153.99</v>
      </c>
    </row>
    <row r="606" spans="1:4" x14ac:dyDescent="0.3">
      <c r="A606" t="s">
        <v>132</v>
      </c>
      <c r="B606" t="s">
        <v>650</v>
      </c>
      <c r="C606">
        <v>350.97</v>
      </c>
      <c r="D606">
        <v>152.09</v>
      </c>
    </row>
    <row r="607" spans="1:4" x14ac:dyDescent="0.3">
      <c r="A607" t="s">
        <v>132</v>
      </c>
      <c r="B607" t="s">
        <v>955</v>
      </c>
      <c r="C607">
        <v>271.44</v>
      </c>
      <c r="D607">
        <v>71.95</v>
      </c>
    </row>
    <row r="608" spans="1:4" x14ac:dyDescent="0.3">
      <c r="A608" t="s">
        <v>132</v>
      </c>
      <c r="B608" t="s">
        <v>1113</v>
      </c>
      <c r="C608">
        <v>109.65</v>
      </c>
      <c r="D608">
        <v>51.54</v>
      </c>
    </row>
    <row r="609" spans="1:4" x14ac:dyDescent="0.3">
      <c r="A609" t="s">
        <v>132</v>
      </c>
      <c r="B609" t="s">
        <v>1236</v>
      </c>
      <c r="C609">
        <v>146.56</v>
      </c>
      <c r="D609">
        <v>41.42</v>
      </c>
    </row>
    <row r="610" spans="1:4" x14ac:dyDescent="0.3">
      <c r="A610" t="s">
        <v>132</v>
      </c>
      <c r="B610" t="s">
        <v>1257</v>
      </c>
      <c r="C610">
        <v>95.9</v>
      </c>
      <c r="D610">
        <v>39.72</v>
      </c>
    </row>
    <row r="611" spans="1:4" x14ac:dyDescent="0.3">
      <c r="A611" t="s">
        <v>132</v>
      </c>
      <c r="B611" t="s">
        <v>1400</v>
      </c>
      <c r="C611">
        <v>262.45</v>
      </c>
      <c r="D611">
        <v>28.75</v>
      </c>
    </row>
    <row r="612" spans="1:4" x14ac:dyDescent="0.3">
      <c r="A612" t="s">
        <v>132</v>
      </c>
      <c r="B612" t="s">
        <v>1510</v>
      </c>
      <c r="C612">
        <v>52.8</v>
      </c>
      <c r="D612">
        <v>21.6</v>
      </c>
    </row>
    <row r="613" spans="1:4" x14ac:dyDescent="0.3">
      <c r="A613" t="s">
        <v>132</v>
      </c>
      <c r="B613" t="s">
        <v>1585</v>
      </c>
      <c r="C613">
        <v>40.18</v>
      </c>
      <c r="D613">
        <v>16.59</v>
      </c>
    </row>
    <row r="614" spans="1:4" x14ac:dyDescent="0.3">
      <c r="A614" t="s">
        <v>132</v>
      </c>
      <c r="B614" t="s">
        <v>1820</v>
      </c>
      <c r="C614">
        <v>19.29</v>
      </c>
      <c r="D614">
        <v>3.57</v>
      </c>
    </row>
    <row r="615" spans="1:4" x14ac:dyDescent="0.3">
      <c r="A615" t="s">
        <v>132</v>
      </c>
      <c r="B615" t="s">
        <v>1892</v>
      </c>
      <c r="C615">
        <v>269.39</v>
      </c>
      <c r="D615">
        <v>-2.2799999999999998</v>
      </c>
    </row>
    <row r="616" spans="1:4" x14ac:dyDescent="0.3">
      <c r="A616" t="s">
        <v>107</v>
      </c>
      <c r="B616" t="s">
        <v>108</v>
      </c>
      <c r="C616">
        <v>8431</v>
      </c>
      <c r="D616">
        <v>1388.63</v>
      </c>
    </row>
    <row r="617" spans="1:4" x14ac:dyDescent="0.3">
      <c r="A617" t="s">
        <v>107</v>
      </c>
      <c r="B617" t="s">
        <v>394</v>
      </c>
      <c r="C617">
        <v>881.09</v>
      </c>
      <c r="D617">
        <v>354.02</v>
      </c>
    </row>
    <row r="618" spans="1:4" x14ac:dyDescent="0.3">
      <c r="A618" t="s">
        <v>107</v>
      </c>
      <c r="B618" t="s">
        <v>507</v>
      </c>
      <c r="C618">
        <v>586.09</v>
      </c>
      <c r="D618">
        <v>236.36</v>
      </c>
    </row>
    <row r="619" spans="1:4" x14ac:dyDescent="0.3">
      <c r="A619" t="s">
        <v>107</v>
      </c>
      <c r="B619" t="s">
        <v>534</v>
      </c>
      <c r="C619">
        <v>571.71</v>
      </c>
      <c r="D619">
        <v>218.29</v>
      </c>
    </row>
    <row r="620" spans="1:4" x14ac:dyDescent="0.3">
      <c r="A620" t="s">
        <v>107</v>
      </c>
      <c r="B620" t="s">
        <v>535</v>
      </c>
      <c r="C620">
        <v>512.19000000000005</v>
      </c>
      <c r="D620">
        <v>216.26</v>
      </c>
    </row>
    <row r="621" spans="1:4" x14ac:dyDescent="0.3">
      <c r="A621" t="s">
        <v>107</v>
      </c>
      <c r="B621" t="s">
        <v>538</v>
      </c>
      <c r="C621">
        <v>789.82</v>
      </c>
      <c r="D621">
        <v>211.82</v>
      </c>
    </row>
    <row r="622" spans="1:4" x14ac:dyDescent="0.3">
      <c r="A622" t="s">
        <v>107</v>
      </c>
      <c r="B622" t="s">
        <v>561</v>
      </c>
      <c r="C622">
        <v>499.62</v>
      </c>
      <c r="D622">
        <v>199.85</v>
      </c>
    </row>
    <row r="623" spans="1:4" x14ac:dyDescent="0.3">
      <c r="A623" t="s">
        <v>107</v>
      </c>
      <c r="B623" t="s">
        <v>652</v>
      </c>
      <c r="C623">
        <v>705.32</v>
      </c>
      <c r="D623">
        <v>151.32</v>
      </c>
    </row>
    <row r="624" spans="1:4" x14ac:dyDescent="0.3">
      <c r="A624" t="s">
        <v>107</v>
      </c>
      <c r="B624" t="s">
        <v>867</v>
      </c>
      <c r="C624">
        <v>315.37</v>
      </c>
      <c r="D624">
        <v>88.46</v>
      </c>
    </row>
    <row r="625" spans="1:4" x14ac:dyDescent="0.3">
      <c r="A625" t="s">
        <v>107</v>
      </c>
      <c r="B625" t="s">
        <v>898</v>
      </c>
      <c r="C625">
        <v>581.16999999999996</v>
      </c>
      <c r="D625">
        <v>81.569999999999993</v>
      </c>
    </row>
    <row r="626" spans="1:4" x14ac:dyDescent="0.3">
      <c r="A626" t="s">
        <v>107</v>
      </c>
      <c r="B626" t="s">
        <v>925</v>
      </c>
      <c r="C626">
        <v>335.89</v>
      </c>
      <c r="D626">
        <v>76.77</v>
      </c>
    </row>
    <row r="627" spans="1:4" x14ac:dyDescent="0.3">
      <c r="A627" t="s">
        <v>107</v>
      </c>
      <c r="B627" t="s">
        <v>1450</v>
      </c>
      <c r="C627">
        <v>92.82</v>
      </c>
      <c r="D627">
        <v>24.57</v>
      </c>
    </row>
    <row r="628" spans="1:4" x14ac:dyDescent="0.3">
      <c r="A628" t="s">
        <v>107</v>
      </c>
      <c r="B628" t="s">
        <v>1474</v>
      </c>
      <c r="C628">
        <v>339.83</v>
      </c>
      <c r="D628">
        <v>23.19</v>
      </c>
    </row>
    <row r="629" spans="1:4" x14ac:dyDescent="0.3">
      <c r="A629" t="s">
        <v>107</v>
      </c>
      <c r="B629" t="s">
        <v>1577</v>
      </c>
      <c r="C629">
        <v>92.18</v>
      </c>
      <c r="D629">
        <v>17.36</v>
      </c>
    </row>
    <row r="630" spans="1:4" x14ac:dyDescent="0.3">
      <c r="A630" t="s">
        <v>107</v>
      </c>
      <c r="B630" t="s">
        <v>1595</v>
      </c>
      <c r="C630">
        <v>495.6</v>
      </c>
      <c r="D630">
        <v>16.11</v>
      </c>
    </row>
    <row r="631" spans="1:4" x14ac:dyDescent="0.3">
      <c r="A631" t="s">
        <v>107</v>
      </c>
      <c r="B631" t="s">
        <v>1693</v>
      </c>
      <c r="C631">
        <v>2018.7</v>
      </c>
      <c r="D631">
        <v>10.3</v>
      </c>
    </row>
    <row r="632" spans="1:4" x14ac:dyDescent="0.3">
      <c r="A632" t="s">
        <v>107</v>
      </c>
      <c r="B632" t="s">
        <v>1701</v>
      </c>
      <c r="C632">
        <v>26.06</v>
      </c>
      <c r="D632">
        <v>9.8800000000000008</v>
      </c>
    </row>
    <row r="633" spans="1:4" x14ac:dyDescent="0.3">
      <c r="A633" t="s">
        <v>107</v>
      </c>
      <c r="B633" t="s">
        <v>1716</v>
      </c>
      <c r="C633">
        <v>176.74</v>
      </c>
      <c r="D633">
        <v>9.06</v>
      </c>
    </row>
    <row r="634" spans="1:4" x14ac:dyDescent="0.3">
      <c r="A634" t="s">
        <v>107</v>
      </c>
      <c r="B634" t="s">
        <v>1853</v>
      </c>
      <c r="C634">
        <v>10.5</v>
      </c>
      <c r="D634">
        <v>1.18</v>
      </c>
    </row>
    <row r="635" spans="1:4" x14ac:dyDescent="0.3">
      <c r="A635" t="s">
        <v>107</v>
      </c>
      <c r="B635" t="s">
        <v>2077</v>
      </c>
      <c r="C635">
        <v>723.84</v>
      </c>
      <c r="D635">
        <v>-133.11000000000001</v>
      </c>
    </row>
    <row r="636" spans="1:4" x14ac:dyDescent="0.3">
      <c r="A636" t="s">
        <v>107</v>
      </c>
      <c r="B636" t="s">
        <v>2164</v>
      </c>
      <c r="C636">
        <v>3317.01</v>
      </c>
      <c r="D636">
        <v>-530.04</v>
      </c>
    </row>
    <row r="637" spans="1:4" x14ac:dyDescent="0.3">
      <c r="A637" t="s">
        <v>107</v>
      </c>
      <c r="B637" t="s">
        <v>2167</v>
      </c>
      <c r="C637">
        <v>3963.9</v>
      </c>
      <c r="D637">
        <v>-598.52</v>
      </c>
    </row>
    <row r="638" spans="1:4" x14ac:dyDescent="0.3">
      <c r="A638" t="s">
        <v>107</v>
      </c>
      <c r="B638" t="s">
        <v>2189</v>
      </c>
      <c r="C638">
        <v>22638.48</v>
      </c>
      <c r="D638">
        <v>-1811.08</v>
      </c>
    </row>
    <row r="639" spans="1:4" x14ac:dyDescent="0.3">
      <c r="A639" t="s">
        <v>1747</v>
      </c>
      <c r="B639" t="s">
        <v>1748</v>
      </c>
      <c r="C639">
        <v>38.72</v>
      </c>
      <c r="D639">
        <v>7.48</v>
      </c>
    </row>
    <row r="640" spans="1:4" x14ac:dyDescent="0.3">
      <c r="A640" t="s">
        <v>177</v>
      </c>
      <c r="B640" t="s">
        <v>178</v>
      </c>
      <c r="C640">
        <v>7582.37</v>
      </c>
      <c r="D640">
        <v>832.99</v>
      </c>
    </row>
    <row r="641" spans="1:4" x14ac:dyDescent="0.3">
      <c r="A641" t="s">
        <v>177</v>
      </c>
      <c r="B641" t="s">
        <v>518</v>
      </c>
      <c r="C641">
        <v>1339.87</v>
      </c>
      <c r="D641">
        <v>229.98</v>
      </c>
    </row>
    <row r="642" spans="1:4" x14ac:dyDescent="0.3">
      <c r="A642" t="s">
        <v>177</v>
      </c>
      <c r="B642" t="s">
        <v>1500</v>
      </c>
      <c r="C642">
        <v>82.66</v>
      </c>
      <c r="D642">
        <v>22.11</v>
      </c>
    </row>
    <row r="643" spans="1:4" x14ac:dyDescent="0.3">
      <c r="A643" t="s">
        <v>177</v>
      </c>
      <c r="B643" t="s">
        <v>1689</v>
      </c>
      <c r="C643">
        <v>39.78</v>
      </c>
      <c r="D643">
        <v>10.74</v>
      </c>
    </row>
    <row r="644" spans="1:4" x14ac:dyDescent="0.3">
      <c r="A644" t="s">
        <v>177</v>
      </c>
      <c r="B644" t="s">
        <v>1762</v>
      </c>
      <c r="C644">
        <v>108.08</v>
      </c>
      <c r="D644">
        <v>6.76</v>
      </c>
    </row>
    <row r="645" spans="1:4" x14ac:dyDescent="0.3">
      <c r="A645" t="s">
        <v>300</v>
      </c>
      <c r="B645" t="s">
        <v>301</v>
      </c>
      <c r="C645">
        <v>2705.78</v>
      </c>
      <c r="D645">
        <v>499.34</v>
      </c>
    </row>
    <row r="646" spans="1:4" x14ac:dyDescent="0.3">
      <c r="A646" t="s">
        <v>300</v>
      </c>
      <c r="B646" t="s">
        <v>1803</v>
      </c>
      <c r="C646">
        <v>14.98</v>
      </c>
      <c r="D646">
        <v>4.49</v>
      </c>
    </row>
    <row r="647" spans="1:4" x14ac:dyDescent="0.3">
      <c r="A647" t="s">
        <v>434</v>
      </c>
      <c r="B647" t="s">
        <v>435</v>
      </c>
      <c r="C647">
        <v>632.52</v>
      </c>
      <c r="D647">
        <v>309.93</v>
      </c>
    </row>
    <row r="648" spans="1:4" x14ac:dyDescent="0.3">
      <c r="A648" t="s">
        <v>434</v>
      </c>
      <c r="B648" t="s">
        <v>1232</v>
      </c>
      <c r="C648">
        <v>261.60000000000002</v>
      </c>
      <c r="D648">
        <v>41.86</v>
      </c>
    </row>
    <row r="649" spans="1:4" x14ac:dyDescent="0.3">
      <c r="A649" t="s">
        <v>1116</v>
      </c>
      <c r="B649" t="s">
        <v>1117</v>
      </c>
      <c r="C649">
        <v>468.47</v>
      </c>
      <c r="D649">
        <v>51.11</v>
      </c>
    </row>
    <row r="650" spans="1:4" x14ac:dyDescent="0.3">
      <c r="A650" t="s">
        <v>616</v>
      </c>
      <c r="B650" t="s">
        <v>617</v>
      </c>
      <c r="C650">
        <v>372.96</v>
      </c>
      <c r="D650">
        <v>165.76</v>
      </c>
    </row>
    <row r="651" spans="1:4" x14ac:dyDescent="0.3">
      <c r="A651" t="s">
        <v>616</v>
      </c>
      <c r="B651" t="s">
        <v>689</v>
      </c>
      <c r="C651">
        <v>637.07000000000005</v>
      </c>
      <c r="D651">
        <v>134</v>
      </c>
    </row>
    <row r="652" spans="1:4" x14ac:dyDescent="0.3">
      <c r="A652" t="s">
        <v>616</v>
      </c>
      <c r="B652" t="s">
        <v>2129</v>
      </c>
      <c r="C652">
        <v>2847.78</v>
      </c>
      <c r="D652">
        <v>-328.59</v>
      </c>
    </row>
    <row r="653" spans="1:4" x14ac:dyDescent="0.3">
      <c r="A653" t="s">
        <v>265</v>
      </c>
      <c r="B653" t="s">
        <v>266</v>
      </c>
      <c r="C653">
        <v>1409.72</v>
      </c>
      <c r="D653">
        <v>554.89</v>
      </c>
    </row>
    <row r="654" spans="1:4" x14ac:dyDescent="0.3">
      <c r="A654" t="s">
        <v>265</v>
      </c>
      <c r="B654" t="s">
        <v>857</v>
      </c>
      <c r="C654">
        <v>187.92</v>
      </c>
      <c r="D654">
        <v>90.2</v>
      </c>
    </row>
    <row r="655" spans="1:4" x14ac:dyDescent="0.3">
      <c r="A655" t="s">
        <v>265</v>
      </c>
      <c r="B655" t="s">
        <v>1869</v>
      </c>
      <c r="C655">
        <v>29.7</v>
      </c>
      <c r="D655">
        <v>0</v>
      </c>
    </row>
    <row r="656" spans="1:4" x14ac:dyDescent="0.3">
      <c r="A656" t="s">
        <v>265</v>
      </c>
      <c r="B656" t="s">
        <v>1922</v>
      </c>
      <c r="C656">
        <v>483.7</v>
      </c>
      <c r="D656">
        <v>-7.44</v>
      </c>
    </row>
    <row r="657" spans="1:4" x14ac:dyDescent="0.3">
      <c r="A657" t="s">
        <v>134</v>
      </c>
      <c r="B657" t="s">
        <v>135</v>
      </c>
      <c r="C657">
        <v>4859.84</v>
      </c>
      <c r="D657">
        <v>1154.96</v>
      </c>
    </row>
    <row r="658" spans="1:4" x14ac:dyDescent="0.3">
      <c r="A658" t="s">
        <v>134</v>
      </c>
      <c r="B658" t="s">
        <v>137</v>
      </c>
      <c r="C658">
        <v>7515.52</v>
      </c>
      <c r="D658">
        <v>1114.3699999999999</v>
      </c>
    </row>
    <row r="659" spans="1:4" x14ac:dyDescent="0.3">
      <c r="A659" t="s">
        <v>134</v>
      </c>
      <c r="B659" t="s">
        <v>162</v>
      </c>
      <c r="C659">
        <v>4180.53</v>
      </c>
      <c r="D659">
        <v>904.74</v>
      </c>
    </row>
    <row r="660" spans="1:4" x14ac:dyDescent="0.3">
      <c r="A660" t="s">
        <v>134</v>
      </c>
      <c r="B660" t="s">
        <v>659</v>
      </c>
      <c r="C660">
        <v>383.04</v>
      </c>
      <c r="D660">
        <v>148.96</v>
      </c>
    </row>
    <row r="661" spans="1:4" x14ac:dyDescent="0.3">
      <c r="A661" t="s">
        <v>134</v>
      </c>
      <c r="B661" t="s">
        <v>893</v>
      </c>
      <c r="C661">
        <v>2645.8</v>
      </c>
      <c r="D661">
        <v>83.69</v>
      </c>
    </row>
    <row r="662" spans="1:4" x14ac:dyDescent="0.3">
      <c r="A662" t="s">
        <v>134</v>
      </c>
      <c r="B662" t="s">
        <v>1115</v>
      </c>
      <c r="C662">
        <v>249.82</v>
      </c>
      <c r="D662">
        <v>51.31</v>
      </c>
    </row>
    <row r="663" spans="1:4" x14ac:dyDescent="0.3">
      <c r="A663" t="s">
        <v>134</v>
      </c>
      <c r="B663" t="s">
        <v>1469</v>
      </c>
      <c r="C663">
        <v>66.42</v>
      </c>
      <c r="D663">
        <v>23.39</v>
      </c>
    </row>
    <row r="664" spans="1:4" x14ac:dyDescent="0.3">
      <c r="A664" t="s">
        <v>134</v>
      </c>
      <c r="B664" t="s">
        <v>1596</v>
      </c>
      <c r="C664">
        <v>45.04</v>
      </c>
      <c r="D664">
        <v>16.010000000000002</v>
      </c>
    </row>
    <row r="665" spans="1:4" x14ac:dyDescent="0.3">
      <c r="A665" t="s">
        <v>134</v>
      </c>
      <c r="B665" t="s">
        <v>1661</v>
      </c>
      <c r="C665">
        <v>56.16</v>
      </c>
      <c r="D665">
        <v>13.01</v>
      </c>
    </row>
    <row r="666" spans="1:4" x14ac:dyDescent="0.3">
      <c r="A666" t="s">
        <v>53</v>
      </c>
      <c r="B666" t="s">
        <v>54</v>
      </c>
      <c r="C666">
        <v>11304.44</v>
      </c>
      <c r="D666">
        <v>3247.02</v>
      </c>
    </row>
    <row r="667" spans="1:4" x14ac:dyDescent="0.3">
      <c r="A667" t="s">
        <v>53</v>
      </c>
      <c r="B667" t="s">
        <v>558</v>
      </c>
      <c r="C667">
        <v>515.79</v>
      </c>
      <c r="D667">
        <v>201.16</v>
      </c>
    </row>
    <row r="668" spans="1:4" x14ac:dyDescent="0.3">
      <c r="A668" t="s">
        <v>53</v>
      </c>
      <c r="B668" t="s">
        <v>734</v>
      </c>
      <c r="C668">
        <v>683.55</v>
      </c>
      <c r="D668">
        <v>120.87</v>
      </c>
    </row>
    <row r="669" spans="1:4" x14ac:dyDescent="0.3">
      <c r="A669" t="s">
        <v>53</v>
      </c>
      <c r="B669" t="s">
        <v>767</v>
      </c>
      <c r="C669">
        <v>223.44</v>
      </c>
      <c r="D669">
        <v>111.72</v>
      </c>
    </row>
    <row r="670" spans="1:4" x14ac:dyDescent="0.3">
      <c r="A670" t="s">
        <v>53</v>
      </c>
      <c r="B670" t="s">
        <v>965</v>
      </c>
      <c r="C670">
        <v>150.34</v>
      </c>
      <c r="D670">
        <v>69.47</v>
      </c>
    </row>
    <row r="671" spans="1:4" x14ac:dyDescent="0.3">
      <c r="A671" t="s">
        <v>53</v>
      </c>
      <c r="B671" t="s">
        <v>1367</v>
      </c>
      <c r="C671">
        <v>68.17</v>
      </c>
      <c r="D671">
        <v>30.86</v>
      </c>
    </row>
    <row r="672" spans="1:4" x14ac:dyDescent="0.3">
      <c r="A672" t="s">
        <v>53</v>
      </c>
      <c r="B672" t="s">
        <v>1471</v>
      </c>
      <c r="C672">
        <v>93.15</v>
      </c>
      <c r="D672">
        <v>23.29</v>
      </c>
    </row>
    <row r="673" spans="1:4" x14ac:dyDescent="0.3">
      <c r="A673" t="s">
        <v>46</v>
      </c>
      <c r="B673" t="s">
        <v>47</v>
      </c>
      <c r="C673">
        <v>14299.89</v>
      </c>
      <c r="D673">
        <v>3717.97</v>
      </c>
    </row>
    <row r="674" spans="1:4" x14ac:dyDescent="0.3">
      <c r="A674" t="s">
        <v>46</v>
      </c>
      <c r="B674" t="s">
        <v>433</v>
      </c>
      <c r="C674">
        <v>1166.44</v>
      </c>
      <c r="D674">
        <v>310.89</v>
      </c>
    </row>
    <row r="675" spans="1:4" x14ac:dyDescent="0.3">
      <c r="A675" t="s">
        <v>46</v>
      </c>
      <c r="B675" t="s">
        <v>560</v>
      </c>
      <c r="C675">
        <v>417.34</v>
      </c>
      <c r="D675">
        <v>200.32</v>
      </c>
    </row>
    <row r="676" spans="1:4" x14ac:dyDescent="0.3">
      <c r="A676" t="s">
        <v>46</v>
      </c>
      <c r="B676" t="s">
        <v>766</v>
      </c>
      <c r="C676">
        <v>1809.92</v>
      </c>
      <c r="D676">
        <v>111.8</v>
      </c>
    </row>
    <row r="677" spans="1:4" x14ac:dyDescent="0.3">
      <c r="A677" t="s">
        <v>46</v>
      </c>
      <c r="B677" t="s">
        <v>788</v>
      </c>
      <c r="C677">
        <v>611.04999999999995</v>
      </c>
      <c r="D677">
        <v>106.51</v>
      </c>
    </row>
    <row r="678" spans="1:4" x14ac:dyDescent="0.3">
      <c r="A678" t="s">
        <v>46</v>
      </c>
      <c r="B678" t="s">
        <v>1065</v>
      </c>
      <c r="C678">
        <v>129.16999999999999</v>
      </c>
      <c r="D678">
        <v>55.97</v>
      </c>
    </row>
    <row r="679" spans="1:4" x14ac:dyDescent="0.3">
      <c r="A679" t="s">
        <v>46</v>
      </c>
      <c r="B679" t="s">
        <v>1550</v>
      </c>
      <c r="C679">
        <v>142.05000000000001</v>
      </c>
      <c r="D679">
        <v>18.940000000000001</v>
      </c>
    </row>
    <row r="680" spans="1:4" x14ac:dyDescent="0.3">
      <c r="A680" t="s">
        <v>46</v>
      </c>
      <c r="B680" t="s">
        <v>1639</v>
      </c>
      <c r="C680">
        <v>37.159999999999997</v>
      </c>
      <c r="D680">
        <v>14.08</v>
      </c>
    </row>
    <row r="681" spans="1:4" x14ac:dyDescent="0.3">
      <c r="A681" t="s">
        <v>46</v>
      </c>
      <c r="B681" t="s">
        <v>1649</v>
      </c>
      <c r="C681">
        <v>136.44</v>
      </c>
      <c r="D681">
        <v>13.64</v>
      </c>
    </row>
    <row r="682" spans="1:4" x14ac:dyDescent="0.3">
      <c r="A682" t="s">
        <v>46</v>
      </c>
      <c r="B682" t="s">
        <v>1741</v>
      </c>
      <c r="C682">
        <v>30.83</v>
      </c>
      <c r="D682">
        <v>8.14</v>
      </c>
    </row>
    <row r="683" spans="1:4" x14ac:dyDescent="0.3">
      <c r="A683" t="s">
        <v>453</v>
      </c>
      <c r="B683" t="s">
        <v>454</v>
      </c>
      <c r="C683">
        <v>924.74</v>
      </c>
      <c r="D683">
        <v>285.64999999999998</v>
      </c>
    </row>
    <row r="684" spans="1:4" x14ac:dyDescent="0.3">
      <c r="A684" t="s">
        <v>453</v>
      </c>
      <c r="B684" t="s">
        <v>782</v>
      </c>
      <c r="C684">
        <v>284.38</v>
      </c>
      <c r="D684">
        <v>108.34</v>
      </c>
    </row>
    <row r="685" spans="1:4" x14ac:dyDescent="0.3">
      <c r="A685" t="s">
        <v>453</v>
      </c>
      <c r="B685" t="s">
        <v>1272</v>
      </c>
      <c r="C685">
        <v>189.24</v>
      </c>
      <c r="D685">
        <v>38.299999999999997</v>
      </c>
    </row>
    <row r="686" spans="1:4" x14ac:dyDescent="0.3">
      <c r="A686" t="s">
        <v>453</v>
      </c>
      <c r="B686" t="s">
        <v>1675</v>
      </c>
      <c r="C686">
        <v>59.98</v>
      </c>
      <c r="D686">
        <v>12</v>
      </c>
    </row>
    <row r="687" spans="1:4" x14ac:dyDescent="0.3">
      <c r="A687" t="s">
        <v>453</v>
      </c>
      <c r="B687" t="s">
        <v>1710</v>
      </c>
      <c r="C687">
        <v>81.319999999999993</v>
      </c>
      <c r="D687">
        <v>9.4600000000000009</v>
      </c>
    </row>
    <row r="688" spans="1:4" x14ac:dyDescent="0.3">
      <c r="A688" t="s">
        <v>453</v>
      </c>
      <c r="B688" t="s">
        <v>1815</v>
      </c>
      <c r="C688">
        <v>15.76</v>
      </c>
      <c r="D688">
        <v>3.7</v>
      </c>
    </row>
    <row r="689" spans="1:4" x14ac:dyDescent="0.3">
      <c r="A689" t="s">
        <v>453</v>
      </c>
      <c r="B689" t="s">
        <v>1893</v>
      </c>
      <c r="C689">
        <v>18.100000000000001</v>
      </c>
      <c r="D689">
        <v>-2.5099999999999998</v>
      </c>
    </row>
    <row r="690" spans="1:4" x14ac:dyDescent="0.3">
      <c r="A690" t="s">
        <v>453</v>
      </c>
      <c r="B690" t="s">
        <v>1968</v>
      </c>
      <c r="C690">
        <v>276.94</v>
      </c>
      <c r="D690">
        <v>-19.46</v>
      </c>
    </row>
    <row r="691" spans="1:4" x14ac:dyDescent="0.3">
      <c r="A691" t="s">
        <v>209</v>
      </c>
      <c r="B691" t="s">
        <v>210</v>
      </c>
      <c r="C691">
        <v>5009.4799999999996</v>
      </c>
      <c r="D691">
        <v>715.64</v>
      </c>
    </row>
    <row r="692" spans="1:4" x14ac:dyDescent="0.3">
      <c r="A692" t="s">
        <v>760</v>
      </c>
      <c r="B692" t="s">
        <v>761</v>
      </c>
      <c r="C692">
        <v>299</v>
      </c>
      <c r="D692">
        <v>113.1</v>
      </c>
    </row>
    <row r="693" spans="1:4" x14ac:dyDescent="0.3">
      <c r="A693" t="s">
        <v>760</v>
      </c>
      <c r="B693" t="s">
        <v>1323</v>
      </c>
      <c r="C693">
        <v>234.77</v>
      </c>
      <c r="D693">
        <v>34.46</v>
      </c>
    </row>
    <row r="694" spans="1:4" x14ac:dyDescent="0.3">
      <c r="A694" t="s">
        <v>957</v>
      </c>
      <c r="B694" t="s">
        <v>958</v>
      </c>
      <c r="C694">
        <v>164.33</v>
      </c>
      <c r="D694">
        <v>70.540000000000006</v>
      </c>
    </row>
    <row r="695" spans="1:4" x14ac:dyDescent="0.3">
      <c r="A695" t="s">
        <v>957</v>
      </c>
      <c r="B695" t="s">
        <v>1034</v>
      </c>
      <c r="C695">
        <v>138.66999999999999</v>
      </c>
      <c r="D695">
        <v>59.36</v>
      </c>
    </row>
    <row r="696" spans="1:4" x14ac:dyDescent="0.3">
      <c r="A696" t="s">
        <v>126</v>
      </c>
      <c r="B696" t="s">
        <v>127</v>
      </c>
      <c r="C696">
        <v>6146.41</v>
      </c>
      <c r="D696">
        <v>1244.3</v>
      </c>
    </row>
    <row r="697" spans="1:4" x14ac:dyDescent="0.3">
      <c r="A697" t="s">
        <v>126</v>
      </c>
      <c r="B697" t="s">
        <v>167</v>
      </c>
      <c r="C697">
        <v>2098.88</v>
      </c>
      <c r="D697">
        <v>881.53</v>
      </c>
    </row>
    <row r="698" spans="1:4" x14ac:dyDescent="0.3">
      <c r="A698" t="s">
        <v>126</v>
      </c>
      <c r="B698" t="s">
        <v>183</v>
      </c>
      <c r="C698">
        <v>2031.25</v>
      </c>
      <c r="D698">
        <v>785.63</v>
      </c>
    </row>
    <row r="699" spans="1:4" x14ac:dyDescent="0.3">
      <c r="A699" t="s">
        <v>126</v>
      </c>
      <c r="B699" t="s">
        <v>865</v>
      </c>
      <c r="C699">
        <v>231.67</v>
      </c>
      <c r="D699">
        <v>88.85</v>
      </c>
    </row>
    <row r="700" spans="1:4" x14ac:dyDescent="0.3">
      <c r="A700" t="s">
        <v>126</v>
      </c>
      <c r="B700" t="s">
        <v>1217</v>
      </c>
      <c r="C700">
        <v>118.05</v>
      </c>
      <c r="D700">
        <v>42.86</v>
      </c>
    </row>
    <row r="701" spans="1:4" x14ac:dyDescent="0.3">
      <c r="A701" t="s">
        <v>126</v>
      </c>
      <c r="B701" t="s">
        <v>1295</v>
      </c>
      <c r="C701">
        <v>465.65</v>
      </c>
      <c r="D701">
        <v>36.92</v>
      </c>
    </row>
    <row r="702" spans="1:4" x14ac:dyDescent="0.3">
      <c r="A702" t="s">
        <v>126</v>
      </c>
      <c r="B702" t="s">
        <v>1448</v>
      </c>
      <c r="C702">
        <v>59.7</v>
      </c>
      <c r="D702">
        <v>24.66</v>
      </c>
    </row>
    <row r="703" spans="1:4" x14ac:dyDescent="0.3">
      <c r="A703" t="s">
        <v>126</v>
      </c>
      <c r="B703" t="s">
        <v>1926</v>
      </c>
      <c r="C703">
        <v>89.64</v>
      </c>
      <c r="D703">
        <v>-8.34</v>
      </c>
    </row>
    <row r="704" spans="1:4" x14ac:dyDescent="0.3">
      <c r="A704" t="s">
        <v>126</v>
      </c>
      <c r="B704" t="s">
        <v>1929</v>
      </c>
      <c r="C704">
        <v>127.94</v>
      </c>
      <c r="D704">
        <v>-8.74</v>
      </c>
    </row>
    <row r="705" spans="1:4" x14ac:dyDescent="0.3">
      <c r="A705" t="s">
        <v>1561</v>
      </c>
      <c r="B705" t="s">
        <v>1562</v>
      </c>
      <c r="C705">
        <v>42.94</v>
      </c>
      <c r="D705">
        <v>18.23</v>
      </c>
    </row>
    <row r="706" spans="1:4" x14ac:dyDescent="0.3">
      <c r="A706" t="s">
        <v>1494</v>
      </c>
      <c r="B706" t="s">
        <v>1495</v>
      </c>
      <c r="C706">
        <v>90.74</v>
      </c>
      <c r="D706">
        <v>22.45</v>
      </c>
    </row>
    <row r="707" spans="1:4" x14ac:dyDescent="0.3">
      <c r="A707" t="s">
        <v>1494</v>
      </c>
      <c r="B707" t="s">
        <v>2017</v>
      </c>
      <c r="C707">
        <v>2586.19</v>
      </c>
      <c r="D707">
        <v>-48.8</v>
      </c>
    </row>
    <row r="708" spans="1:4" x14ac:dyDescent="0.3">
      <c r="A708" t="s">
        <v>1752</v>
      </c>
      <c r="B708" t="s">
        <v>1753</v>
      </c>
      <c r="C708">
        <v>99.12</v>
      </c>
      <c r="D708">
        <v>7.43</v>
      </c>
    </row>
    <row r="709" spans="1:4" x14ac:dyDescent="0.3">
      <c r="A709" t="s">
        <v>1698</v>
      </c>
      <c r="B709" t="s">
        <v>1699</v>
      </c>
      <c r="C709">
        <v>75.489999999999995</v>
      </c>
      <c r="D709">
        <v>10.07</v>
      </c>
    </row>
    <row r="710" spans="1:4" x14ac:dyDescent="0.3">
      <c r="A710" t="s">
        <v>946</v>
      </c>
      <c r="B710" t="s">
        <v>947</v>
      </c>
      <c r="C710">
        <v>172.67</v>
      </c>
      <c r="D710">
        <v>72.7</v>
      </c>
    </row>
    <row r="711" spans="1:4" x14ac:dyDescent="0.3">
      <c r="A711" t="s">
        <v>1496</v>
      </c>
      <c r="B711" t="s">
        <v>1497</v>
      </c>
      <c r="C711">
        <v>367.09</v>
      </c>
      <c r="D711">
        <v>22.43</v>
      </c>
    </row>
    <row r="712" spans="1:4" x14ac:dyDescent="0.3">
      <c r="A712" t="s">
        <v>1496</v>
      </c>
      <c r="B712" t="s">
        <v>1940</v>
      </c>
      <c r="C712">
        <v>156.94</v>
      </c>
      <c r="D712">
        <v>-11.26</v>
      </c>
    </row>
    <row r="713" spans="1:4" x14ac:dyDescent="0.3">
      <c r="A713" t="s">
        <v>705</v>
      </c>
      <c r="B713" t="s">
        <v>706</v>
      </c>
      <c r="C713">
        <v>296.64</v>
      </c>
      <c r="D713">
        <v>127.56</v>
      </c>
    </row>
    <row r="714" spans="1:4" x14ac:dyDescent="0.3">
      <c r="A714" t="s">
        <v>226</v>
      </c>
      <c r="B714" t="s">
        <v>227</v>
      </c>
      <c r="C714">
        <v>2362.7199999999998</v>
      </c>
      <c r="D714">
        <v>676.52</v>
      </c>
    </row>
    <row r="715" spans="1:4" x14ac:dyDescent="0.3">
      <c r="A715" t="s">
        <v>226</v>
      </c>
      <c r="B715" t="s">
        <v>427</v>
      </c>
      <c r="C715">
        <v>1990.64</v>
      </c>
      <c r="D715">
        <v>312.45999999999998</v>
      </c>
    </row>
    <row r="716" spans="1:4" x14ac:dyDescent="0.3">
      <c r="A716" t="s">
        <v>226</v>
      </c>
      <c r="B716" t="s">
        <v>645</v>
      </c>
      <c r="C716">
        <v>351.74</v>
      </c>
      <c r="D716">
        <v>154.4</v>
      </c>
    </row>
    <row r="717" spans="1:4" x14ac:dyDescent="0.3">
      <c r="A717" t="s">
        <v>226</v>
      </c>
      <c r="B717" t="s">
        <v>1059</v>
      </c>
      <c r="C717">
        <v>127.01</v>
      </c>
      <c r="D717">
        <v>56.25</v>
      </c>
    </row>
    <row r="718" spans="1:4" x14ac:dyDescent="0.3">
      <c r="A718" t="s">
        <v>226</v>
      </c>
      <c r="B718" t="s">
        <v>1305</v>
      </c>
      <c r="C718">
        <v>108.04</v>
      </c>
      <c r="D718">
        <v>36</v>
      </c>
    </row>
    <row r="719" spans="1:4" x14ac:dyDescent="0.3">
      <c r="A719" t="s">
        <v>226</v>
      </c>
      <c r="B719" t="s">
        <v>1745</v>
      </c>
      <c r="C719">
        <v>24.98</v>
      </c>
      <c r="D719">
        <v>7.6</v>
      </c>
    </row>
    <row r="720" spans="1:4" x14ac:dyDescent="0.3">
      <c r="A720" t="s">
        <v>2125</v>
      </c>
      <c r="B720" t="s">
        <v>2126</v>
      </c>
      <c r="C720">
        <v>544.61</v>
      </c>
      <c r="D720">
        <v>-310.86</v>
      </c>
    </row>
    <row r="721" spans="1:4" x14ac:dyDescent="0.3">
      <c r="A721" t="s">
        <v>641</v>
      </c>
      <c r="B721" t="s">
        <v>642</v>
      </c>
      <c r="C721">
        <v>436.48</v>
      </c>
      <c r="D721">
        <v>155.55000000000001</v>
      </c>
    </row>
    <row r="722" spans="1:4" x14ac:dyDescent="0.3">
      <c r="A722" t="s">
        <v>849</v>
      </c>
      <c r="B722" t="s">
        <v>850</v>
      </c>
      <c r="C722">
        <v>698.04</v>
      </c>
      <c r="D722">
        <v>90.75</v>
      </c>
    </row>
    <row r="723" spans="1:4" x14ac:dyDescent="0.3">
      <c r="A723" t="s">
        <v>849</v>
      </c>
      <c r="B723" t="s">
        <v>1188</v>
      </c>
      <c r="C723">
        <v>272.89</v>
      </c>
      <c r="D723">
        <v>44.81</v>
      </c>
    </row>
    <row r="724" spans="1:4" x14ac:dyDescent="0.3">
      <c r="A724" t="s">
        <v>849</v>
      </c>
      <c r="B724" t="s">
        <v>1734</v>
      </c>
      <c r="C724">
        <v>154.56</v>
      </c>
      <c r="D724">
        <v>8.56</v>
      </c>
    </row>
    <row r="725" spans="1:4" x14ac:dyDescent="0.3">
      <c r="A725" t="s">
        <v>849</v>
      </c>
      <c r="B725" t="s">
        <v>1898</v>
      </c>
      <c r="C725">
        <v>3028.65</v>
      </c>
      <c r="D725">
        <v>-3.24</v>
      </c>
    </row>
    <row r="726" spans="1:4" x14ac:dyDescent="0.3">
      <c r="A726" t="s">
        <v>281</v>
      </c>
      <c r="B726" t="s">
        <v>282</v>
      </c>
      <c r="C726">
        <v>3968.51</v>
      </c>
      <c r="D726">
        <v>518.34</v>
      </c>
    </row>
    <row r="727" spans="1:4" x14ac:dyDescent="0.3">
      <c r="A727" t="s">
        <v>281</v>
      </c>
      <c r="B727" t="s">
        <v>581</v>
      </c>
      <c r="C727">
        <v>458.5</v>
      </c>
      <c r="D727">
        <v>185.88</v>
      </c>
    </row>
    <row r="728" spans="1:4" x14ac:dyDescent="0.3">
      <c r="A728" t="s">
        <v>281</v>
      </c>
      <c r="B728" t="s">
        <v>588</v>
      </c>
      <c r="C728">
        <v>6819.31</v>
      </c>
      <c r="D728">
        <v>181.66</v>
      </c>
    </row>
    <row r="729" spans="1:4" x14ac:dyDescent="0.3">
      <c r="A729" t="s">
        <v>281</v>
      </c>
      <c r="B729" t="s">
        <v>777</v>
      </c>
      <c r="C729">
        <v>287.97000000000003</v>
      </c>
      <c r="D729">
        <v>109.43</v>
      </c>
    </row>
    <row r="730" spans="1:4" x14ac:dyDescent="0.3">
      <c r="A730" t="s">
        <v>281</v>
      </c>
      <c r="B730" t="s">
        <v>919</v>
      </c>
      <c r="C730">
        <v>178.85</v>
      </c>
      <c r="D730">
        <v>77.760000000000005</v>
      </c>
    </row>
    <row r="731" spans="1:4" x14ac:dyDescent="0.3">
      <c r="A731" t="s">
        <v>281</v>
      </c>
      <c r="B731" t="s">
        <v>1075</v>
      </c>
      <c r="C731">
        <v>583.64</v>
      </c>
      <c r="D731">
        <v>55.25</v>
      </c>
    </row>
    <row r="732" spans="1:4" x14ac:dyDescent="0.3">
      <c r="A732" t="s">
        <v>281</v>
      </c>
      <c r="B732" t="s">
        <v>1088</v>
      </c>
      <c r="C732">
        <v>229.89</v>
      </c>
      <c r="D732">
        <v>53.7</v>
      </c>
    </row>
    <row r="733" spans="1:4" x14ac:dyDescent="0.3">
      <c r="A733" t="s">
        <v>281</v>
      </c>
      <c r="B733" t="s">
        <v>1094</v>
      </c>
      <c r="C733">
        <v>110.25</v>
      </c>
      <c r="D733">
        <v>52.92</v>
      </c>
    </row>
    <row r="734" spans="1:4" x14ac:dyDescent="0.3">
      <c r="A734" t="s">
        <v>281</v>
      </c>
      <c r="B734" t="s">
        <v>1196</v>
      </c>
      <c r="C734">
        <v>211.36</v>
      </c>
      <c r="D734">
        <v>43.93</v>
      </c>
    </row>
    <row r="735" spans="1:4" x14ac:dyDescent="0.3">
      <c r="A735" t="s">
        <v>281</v>
      </c>
      <c r="B735" t="s">
        <v>1220</v>
      </c>
      <c r="C735">
        <v>152.06</v>
      </c>
      <c r="D735">
        <v>42.77</v>
      </c>
    </row>
    <row r="736" spans="1:4" x14ac:dyDescent="0.3">
      <c r="A736" t="s">
        <v>281</v>
      </c>
      <c r="B736" t="s">
        <v>1251</v>
      </c>
      <c r="C736">
        <v>110.02</v>
      </c>
      <c r="D736">
        <v>39.880000000000003</v>
      </c>
    </row>
    <row r="737" spans="1:4" x14ac:dyDescent="0.3">
      <c r="A737" t="s">
        <v>281</v>
      </c>
      <c r="B737" t="s">
        <v>1466</v>
      </c>
      <c r="C737">
        <v>131.12</v>
      </c>
      <c r="D737">
        <v>23.52</v>
      </c>
    </row>
    <row r="738" spans="1:4" x14ac:dyDescent="0.3">
      <c r="A738" t="s">
        <v>281</v>
      </c>
      <c r="B738" t="s">
        <v>1703</v>
      </c>
      <c r="C738">
        <v>19.920000000000002</v>
      </c>
      <c r="D738">
        <v>9.76</v>
      </c>
    </row>
    <row r="739" spans="1:4" x14ac:dyDescent="0.3">
      <c r="A739" t="s">
        <v>281</v>
      </c>
      <c r="B739" t="s">
        <v>1862</v>
      </c>
      <c r="C739">
        <v>25.7</v>
      </c>
      <c r="D739">
        <v>0.3</v>
      </c>
    </row>
    <row r="740" spans="1:4" x14ac:dyDescent="0.3">
      <c r="A740" t="s">
        <v>281</v>
      </c>
      <c r="B740" t="s">
        <v>2102</v>
      </c>
      <c r="C740">
        <v>2096.17</v>
      </c>
      <c r="D740">
        <v>-206.53</v>
      </c>
    </row>
    <row r="741" spans="1:4" x14ac:dyDescent="0.3">
      <c r="A741" t="s">
        <v>281</v>
      </c>
      <c r="B741" t="s">
        <v>2168</v>
      </c>
      <c r="C741">
        <v>4297.6400000000003</v>
      </c>
      <c r="D741">
        <v>-611.59</v>
      </c>
    </row>
    <row r="742" spans="1:4" x14ac:dyDescent="0.3">
      <c r="A742" t="s">
        <v>1333</v>
      </c>
      <c r="B742" t="s">
        <v>1334</v>
      </c>
      <c r="C742">
        <v>113.33</v>
      </c>
      <c r="D742">
        <v>33.32</v>
      </c>
    </row>
    <row r="743" spans="1:4" x14ac:dyDescent="0.3">
      <c r="A743" t="s">
        <v>65</v>
      </c>
      <c r="B743" t="s">
        <v>66</v>
      </c>
      <c r="C743">
        <v>5609.83</v>
      </c>
      <c r="D743">
        <v>2243.9299999999998</v>
      </c>
    </row>
    <row r="744" spans="1:4" x14ac:dyDescent="0.3">
      <c r="A744" t="s">
        <v>65</v>
      </c>
      <c r="B744" t="s">
        <v>86</v>
      </c>
      <c r="C744">
        <v>5906.52</v>
      </c>
      <c r="D744">
        <v>1653.83</v>
      </c>
    </row>
    <row r="745" spans="1:4" x14ac:dyDescent="0.3">
      <c r="A745" t="s">
        <v>65</v>
      </c>
      <c r="B745" t="s">
        <v>89</v>
      </c>
      <c r="C745">
        <v>10196.6</v>
      </c>
      <c r="D745">
        <v>1645.36</v>
      </c>
    </row>
    <row r="746" spans="1:4" x14ac:dyDescent="0.3">
      <c r="A746" t="s">
        <v>65</v>
      </c>
      <c r="B746" t="s">
        <v>102</v>
      </c>
      <c r="C746">
        <v>4119.79</v>
      </c>
      <c r="D746">
        <v>1469.93</v>
      </c>
    </row>
    <row r="747" spans="1:4" x14ac:dyDescent="0.3">
      <c r="A747" t="s">
        <v>65</v>
      </c>
      <c r="B747" t="s">
        <v>111</v>
      </c>
      <c r="C747">
        <v>9279.8799999999992</v>
      </c>
      <c r="D747">
        <v>1327.98</v>
      </c>
    </row>
    <row r="748" spans="1:4" x14ac:dyDescent="0.3">
      <c r="A748" t="s">
        <v>65</v>
      </c>
      <c r="B748" t="s">
        <v>119</v>
      </c>
      <c r="C748">
        <v>6594.95</v>
      </c>
      <c r="D748">
        <v>1261.33</v>
      </c>
    </row>
    <row r="749" spans="1:4" x14ac:dyDescent="0.3">
      <c r="A749" t="s">
        <v>65</v>
      </c>
      <c r="B749" t="s">
        <v>154</v>
      </c>
      <c r="C749">
        <v>2619.7399999999998</v>
      </c>
      <c r="D749">
        <v>995.9</v>
      </c>
    </row>
    <row r="750" spans="1:4" x14ac:dyDescent="0.3">
      <c r="A750" t="s">
        <v>65</v>
      </c>
      <c r="B750" t="s">
        <v>165</v>
      </c>
      <c r="C750">
        <v>4619.2299999999996</v>
      </c>
      <c r="D750">
        <v>896.85</v>
      </c>
    </row>
    <row r="751" spans="1:4" x14ac:dyDescent="0.3">
      <c r="A751" t="s">
        <v>65</v>
      </c>
      <c r="B751" t="s">
        <v>168</v>
      </c>
      <c r="C751">
        <v>7834.4</v>
      </c>
      <c r="D751">
        <v>881.37</v>
      </c>
    </row>
    <row r="752" spans="1:4" x14ac:dyDescent="0.3">
      <c r="A752" t="s">
        <v>65</v>
      </c>
      <c r="B752" t="s">
        <v>171</v>
      </c>
      <c r="C752">
        <v>5697.76</v>
      </c>
      <c r="D752">
        <v>870.16</v>
      </c>
    </row>
    <row r="753" spans="1:4" x14ac:dyDescent="0.3">
      <c r="A753" t="s">
        <v>65</v>
      </c>
      <c r="B753" t="s">
        <v>176</v>
      </c>
      <c r="C753">
        <v>5294.46</v>
      </c>
      <c r="D753">
        <v>833.6</v>
      </c>
    </row>
    <row r="754" spans="1:4" x14ac:dyDescent="0.3">
      <c r="A754" t="s">
        <v>65</v>
      </c>
      <c r="B754" t="s">
        <v>222</v>
      </c>
      <c r="C754">
        <v>3138.8</v>
      </c>
      <c r="D754">
        <v>693.84</v>
      </c>
    </row>
    <row r="755" spans="1:4" x14ac:dyDescent="0.3">
      <c r="A755" t="s">
        <v>65</v>
      </c>
      <c r="B755" t="s">
        <v>296</v>
      </c>
      <c r="C755">
        <v>5787.36</v>
      </c>
      <c r="D755">
        <v>509.71</v>
      </c>
    </row>
    <row r="756" spans="1:4" x14ac:dyDescent="0.3">
      <c r="A756" t="s">
        <v>65</v>
      </c>
      <c r="B756" t="s">
        <v>312</v>
      </c>
      <c r="C756">
        <v>2300.66</v>
      </c>
      <c r="D756">
        <v>485</v>
      </c>
    </row>
    <row r="757" spans="1:4" x14ac:dyDescent="0.3">
      <c r="A757" t="s">
        <v>65</v>
      </c>
      <c r="B757" t="s">
        <v>315</v>
      </c>
      <c r="C757">
        <v>2746.58</v>
      </c>
      <c r="D757">
        <v>478.76</v>
      </c>
    </row>
    <row r="758" spans="1:4" x14ac:dyDescent="0.3">
      <c r="A758" t="s">
        <v>65</v>
      </c>
      <c r="B758" t="s">
        <v>319</v>
      </c>
      <c r="C758">
        <v>4211.7299999999996</v>
      </c>
      <c r="D758">
        <v>467.97</v>
      </c>
    </row>
    <row r="759" spans="1:4" x14ac:dyDescent="0.3">
      <c r="A759" t="s">
        <v>65</v>
      </c>
      <c r="B759" t="s">
        <v>334</v>
      </c>
      <c r="C759">
        <v>1112.79</v>
      </c>
      <c r="D759">
        <v>430.42</v>
      </c>
    </row>
    <row r="760" spans="1:4" x14ac:dyDescent="0.3">
      <c r="A760" t="s">
        <v>65</v>
      </c>
      <c r="B760" t="s">
        <v>364</v>
      </c>
      <c r="C760">
        <v>2659.84</v>
      </c>
      <c r="D760">
        <v>398.98</v>
      </c>
    </row>
    <row r="761" spans="1:4" x14ac:dyDescent="0.3">
      <c r="A761" t="s">
        <v>65</v>
      </c>
      <c r="B761" t="s">
        <v>367</v>
      </c>
      <c r="C761">
        <v>917.9</v>
      </c>
      <c r="D761">
        <v>393.26</v>
      </c>
    </row>
    <row r="762" spans="1:4" x14ac:dyDescent="0.3">
      <c r="A762" t="s">
        <v>65</v>
      </c>
      <c r="B762" t="s">
        <v>370</v>
      </c>
      <c r="C762">
        <v>3511.01</v>
      </c>
      <c r="D762">
        <v>383.68</v>
      </c>
    </row>
    <row r="763" spans="1:4" x14ac:dyDescent="0.3">
      <c r="A763" t="s">
        <v>65</v>
      </c>
      <c r="B763" t="s">
        <v>390</v>
      </c>
      <c r="C763">
        <v>1286.8499999999999</v>
      </c>
      <c r="D763">
        <v>360.32</v>
      </c>
    </row>
    <row r="764" spans="1:4" x14ac:dyDescent="0.3">
      <c r="A764" t="s">
        <v>65</v>
      </c>
      <c r="B764" t="s">
        <v>396</v>
      </c>
      <c r="C764">
        <v>1329.9</v>
      </c>
      <c r="D764">
        <v>345.77</v>
      </c>
    </row>
    <row r="765" spans="1:4" x14ac:dyDescent="0.3">
      <c r="A765" t="s">
        <v>65</v>
      </c>
      <c r="B765" t="s">
        <v>410</v>
      </c>
      <c r="C765">
        <v>1219.82</v>
      </c>
      <c r="D765">
        <v>329.05</v>
      </c>
    </row>
    <row r="766" spans="1:4" x14ac:dyDescent="0.3">
      <c r="A766" t="s">
        <v>65</v>
      </c>
      <c r="B766" t="s">
        <v>412</v>
      </c>
      <c r="C766">
        <v>743.43</v>
      </c>
      <c r="D766">
        <v>328.68</v>
      </c>
    </row>
    <row r="767" spans="1:4" x14ac:dyDescent="0.3">
      <c r="A767" t="s">
        <v>65</v>
      </c>
      <c r="B767" t="s">
        <v>413</v>
      </c>
      <c r="C767">
        <v>2221.6</v>
      </c>
      <c r="D767">
        <v>324.69</v>
      </c>
    </row>
    <row r="768" spans="1:4" x14ac:dyDescent="0.3">
      <c r="A768" t="s">
        <v>65</v>
      </c>
      <c r="B768" t="s">
        <v>422</v>
      </c>
      <c r="C768">
        <v>2015.84</v>
      </c>
      <c r="D768">
        <v>314.98</v>
      </c>
    </row>
    <row r="769" spans="1:4" x14ac:dyDescent="0.3">
      <c r="A769" t="s">
        <v>65</v>
      </c>
      <c r="B769" t="s">
        <v>432</v>
      </c>
      <c r="C769">
        <v>2154.35</v>
      </c>
      <c r="D769">
        <v>311.18</v>
      </c>
    </row>
    <row r="770" spans="1:4" x14ac:dyDescent="0.3">
      <c r="A770" t="s">
        <v>65</v>
      </c>
      <c r="B770" t="s">
        <v>444</v>
      </c>
      <c r="C770">
        <v>1042.07</v>
      </c>
      <c r="D770">
        <v>294.31</v>
      </c>
    </row>
    <row r="771" spans="1:4" x14ac:dyDescent="0.3">
      <c r="A771" t="s">
        <v>65</v>
      </c>
      <c r="B771" t="s">
        <v>467</v>
      </c>
      <c r="C771">
        <v>1903.84</v>
      </c>
      <c r="D771">
        <v>276.06</v>
      </c>
    </row>
    <row r="772" spans="1:4" x14ac:dyDescent="0.3">
      <c r="A772" t="s">
        <v>65</v>
      </c>
      <c r="B772" t="s">
        <v>486</v>
      </c>
      <c r="C772">
        <v>681.45</v>
      </c>
      <c r="D772">
        <v>256.19</v>
      </c>
    </row>
    <row r="773" spans="1:4" x14ac:dyDescent="0.3">
      <c r="A773" t="s">
        <v>65</v>
      </c>
      <c r="B773" t="s">
        <v>497</v>
      </c>
      <c r="C773">
        <v>2204.86</v>
      </c>
      <c r="D773">
        <v>246</v>
      </c>
    </row>
    <row r="774" spans="1:4" x14ac:dyDescent="0.3">
      <c r="A774" t="s">
        <v>65</v>
      </c>
      <c r="B774" t="s">
        <v>503</v>
      </c>
      <c r="C774">
        <v>1916.72</v>
      </c>
      <c r="D774">
        <v>241.61</v>
      </c>
    </row>
    <row r="775" spans="1:4" x14ac:dyDescent="0.3">
      <c r="A775" t="s">
        <v>65</v>
      </c>
      <c r="B775" t="s">
        <v>531</v>
      </c>
      <c r="C775">
        <v>908.7</v>
      </c>
      <c r="D775">
        <v>219.84</v>
      </c>
    </row>
    <row r="776" spans="1:4" x14ac:dyDescent="0.3">
      <c r="A776" t="s">
        <v>65</v>
      </c>
      <c r="B776" t="s">
        <v>539</v>
      </c>
      <c r="C776">
        <v>2116.69</v>
      </c>
      <c r="D776">
        <v>211.67</v>
      </c>
    </row>
    <row r="777" spans="1:4" x14ac:dyDescent="0.3">
      <c r="A777" t="s">
        <v>65</v>
      </c>
      <c r="B777" t="s">
        <v>583</v>
      </c>
      <c r="C777">
        <v>443.84</v>
      </c>
      <c r="D777">
        <v>184.19</v>
      </c>
    </row>
    <row r="778" spans="1:4" x14ac:dyDescent="0.3">
      <c r="A778" t="s">
        <v>65</v>
      </c>
      <c r="B778" t="s">
        <v>587</v>
      </c>
      <c r="C778">
        <v>667.99</v>
      </c>
      <c r="D778">
        <v>182.6</v>
      </c>
    </row>
    <row r="779" spans="1:4" x14ac:dyDescent="0.3">
      <c r="A779" t="s">
        <v>65</v>
      </c>
      <c r="B779" t="s">
        <v>601</v>
      </c>
      <c r="C779">
        <v>506.28</v>
      </c>
      <c r="D779">
        <v>177.2</v>
      </c>
    </row>
    <row r="780" spans="1:4" x14ac:dyDescent="0.3">
      <c r="A780" t="s">
        <v>65</v>
      </c>
      <c r="B780" t="s">
        <v>627</v>
      </c>
      <c r="C780">
        <v>770.11</v>
      </c>
      <c r="D780">
        <v>162.58000000000001</v>
      </c>
    </row>
    <row r="781" spans="1:4" x14ac:dyDescent="0.3">
      <c r="A781" t="s">
        <v>65</v>
      </c>
      <c r="B781" t="s">
        <v>633</v>
      </c>
      <c r="C781">
        <v>415.13</v>
      </c>
      <c r="D781">
        <v>159.55000000000001</v>
      </c>
    </row>
    <row r="782" spans="1:4" x14ac:dyDescent="0.3">
      <c r="A782" t="s">
        <v>65</v>
      </c>
      <c r="B782" t="s">
        <v>637</v>
      </c>
      <c r="C782">
        <v>1086.01</v>
      </c>
      <c r="D782">
        <v>156.46</v>
      </c>
    </row>
    <row r="783" spans="1:4" x14ac:dyDescent="0.3">
      <c r="A783" t="s">
        <v>65</v>
      </c>
      <c r="B783" t="s">
        <v>648</v>
      </c>
      <c r="C783">
        <v>2612.1999999999998</v>
      </c>
      <c r="D783">
        <v>153.35</v>
      </c>
    </row>
    <row r="784" spans="1:4" x14ac:dyDescent="0.3">
      <c r="A784" t="s">
        <v>65</v>
      </c>
      <c r="B784" t="s">
        <v>665</v>
      </c>
      <c r="C784">
        <v>901.03</v>
      </c>
      <c r="D784">
        <v>147.03</v>
      </c>
    </row>
    <row r="785" spans="1:4" x14ac:dyDescent="0.3">
      <c r="A785" t="s">
        <v>65</v>
      </c>
      <c r="B785" t="s">
        <v>674</v>
      </c>
      <c r="C785">
        <v>328.39</v>
      </c>
      <c r="D785">
        <v>140.96</v>
      </c>
    </row>
    <row r="786" spans="1:4" x14ac:dyDescent="0.3">
      <c r="A786" t="s">
        <v>65</v>
      </c>
      <c r="B786" t="s">
        <v>676</v>
      </c>
      <c r="C786">
        <v>447.97</v>
      </c>
      <c r="D786">
        <v>139.99</v>
      </c>
    </row>
    <row r="787" spans="1:4" x14ac:dyDescent="0.3">
      <c r="A787" t="s">
        <v>65</v>
      </c>
      <c r="B787" t="s">
        <v>686</v>
      </c>
      <c r="C787">
        <v>3317.72</v>
      </c>
      <c r="D787">
        <v>135.59</v>
      </c>
    </row>
    <row r="788" spans="1:4" x14ac:dyDescent="0.3">
      <c r="A788" t="s">
        <v>65</v>
      </c>
      <c r="B788" t="s">
        <v>693</v>
      </c>
      <c r="C788">
        <v>266.39999999999998</v>
      </c>
      <c r="D788">
        <v>133.19999999999999</v>
      </c>
    </row>
    <row r="789" spans="1:4" x14ac:dyDescent="0.3">
      <c r="A789" t="s">
        <v>65</v>
      </c>
      <c r="B789" t="s">
        <v>694</v>
      </c>
      <c r="C789">
        <v>390.66</v>
      </c>
      <c r="D789">
        <v>132.82</v>
      </c>
    </row>
    <row r="790" spans="1:4" x14ac:dyDescent="0.3">
      <c r="A790" t="s">
        <v>65</v>
      </c>
      <c r="B790" t="s">
        <v>719</v>
      </c>
      <c r="C790">
        <v>1002.36</v>
      </c>
      <c r="D790">
        <v>124.61</v>
      </c>
    </row>
    <row r="791" spans="1:4" x14ac:dyDescent="0.3">
      <c r="A791" t="s">
        <v>65</v>
      </c>
      <c r="B791" t="s">
        <v>721</v>
      </c>
      <c r="C791">
        <v>702.44</v>
      </c>
      <c r="D791">
        <v>123.96</v>
      </c>
    </row>
    <row r="792" spans="1:4" x14ac:dyDescent="0.3">
      <c r="A792" t="s">
        <v>65</v>
      </c>
      <c r="B792" t="s">
        <v>751</v>
      </c>
      <c r="C792">
        <v>1775.08</v>
      </c>
      <c r="D792">
        <v>117.06</v>
      </c>
    </row>
    <row r="793" spans="1:4" x14ac:dyDescent="0.3">
      <c r="A793" t="s">
        <v>65</v>
      </c>
      <c r="B793" t="s">
        <v>774</v>
      </c>
      <c r="C793">
        <v>464.2</v>
      </c>
      <c r="D793">
        <v>110.3</v>
      </c>
    </row>
    <row r="794" spans="1:4" x14ac:dyDescent="0.3">
      <c r="A794" t="s">
        <v>65</v>
      </c>
      <c r="B794" t="s">
        <v>802</v>
      </c>
      <c r="C794">
        <v>361.38</v>
      </c>
      <c r="D794">
        <v>102.71</v>
      </c>
    </row>
    <row r="795" spans="1:4" x14ac:dyDescent="0.3">
      <c r="A795" t="s">
        <v>65</v>
      </c>
      <c r="B795" t="s">
        <v>807</v>
      </c>
      <c r="C795">
        <v>2297.54</v>
      </c>
      <c r="D795">
        <v>100.97</v>
      </c>
    </row>
    <row r="796" spans="1:4" x14ac:dyDescent="0.3">
      <c r="A796" t="s">
        <v>65</v>
      </c>
      <c r="B796" t="s">
        <v>812</v>
      </c>
      <c r="C796">
        <v>1000.73</v>
      </c>
      <c r="D796">
        <v>100.07</v>
      </c>
    </row>
    <row r="797" spans="1:4" x14ac:dyDescent="0.3">
      <c r="A797" t="s">
        <v>65</v>
      </c>
      <c r="B797" t="s">
        <v>823</v>
      </c>
      <c r="C797">
        <v>1231.56</v>
      </c>
      <c r="D797">
        <v>96.29</v>
      </c>
    </row>
    <row r="798" spans="1:4" x14ac:dyDescent="0.3">
      <c r="A798" t="s">
        <v>65</v>
      </c>
      <c r="B798" t="s">
        <v>831</v>
      </c>
      <c r="C798">
        <v>196.98</v>
      </c>
      <c r="D798">
        <v>94.55</v>
      </c>
    </row>
    <row r="799" spans="1:4" x14ac:dyDescent="0.3">
      <c r="A799" t="s">
        <v>65</v>
      </c>
      <c r="B799" t="s">
        <v>837</v>
      </c>
      <c r="C799">
        <v>346.79</v>
      </c>
      <c r="D799">
        <v>93.59</v>
      </c>
    </row>
    <row r="800" spans="1:4" x14ac:dyDescent="0.3">
      <c r="A800" t="s">
        <v>65</v>
      </c>
      <c r="B800" t="s">
        <v>843</v>
      </c>
      <c r="C800">
        <v>402.98</v>
      </c>
      <c r="D800">
        <v>92.11</v>
      </c>
    </row>
    <row r="801" spans="1:4" x14ac:dyDescent="0.3">
      <c r="A801" t="s">
        <v>65</v>
      </c>
      <c r="B801" t="s">
        <v>869</v>
      </c>
      <c r="C801">
        <v>496.58</v>
      </c>
      <c r="D801">
        <v>88.28</v>
      </c>
    </row>
    <row r="802" spans="1:4" x14ac:dyDescent="0.3">
      <c r="A802" t="s">
        <v>65</v>
      </c>
      <c r="B802" t="s">
        <v>882</v>
      </c>
      <c r="C802">
        <v>196.99</v>
      </c>
      <c r="D802">
        <v>85.8</v>
      </c>
    </row>
    <row r="803" spans="1:4" x14ac:dyDescent="0.3">
      <c r="A803" t="s">
        <v>65</v>
      </c>
      <c r="B803" t="s">
        <v>883</v>
      </c>
      <c r="C803">
        <v>545.03</v>
      </c>
      <c r="D803">
        <v>85.24</v>
      </c>
    </row>
    <row r="804" spans="1:4" x14ac:dyDescent="0.3">
      <c r="A804" t="s">
        <v>65</v>
      </c>
      <c r="B804" t="s">
        <v>888</v>
      </c>
      <c r="C804">
        <v>440</v>
      </c>
      <c r="D804">
        <v>84.5</v>
      </c>
    </row>
    <row r="805" spans="1:4" x14ac:dyDescent="0.3">
      <c r="A805" t="s">
        <v>65</v>
      </c>
      <c r="B805" t="s">
        <v>922</v>
      </c>
      <c r="C805">
        <v>764.7</v>
      </c>
      <c r="D805">
        <v>76.98</v>
      </c>
    </row>
    <row r="806" spans="1:4" x14ac:dyDescent="0.3">
      <c r="A806" t="s">
        <v>65</v>
      </c>
      <c r="B806" t="s">
        <v>959</v>
      </c>
      <c r="C806">
        <v>297.99</v>
      </c>
      <c r="D806">
        <v>70.48</v>
      </c>
    </row>
    <row r="807" spans="1:4" x14ac:dyDescent="0.3">
      <c r="A807" t="s">
        <v>65</v>
      </c>
      <c r="B807" t="s">
        <v>964</v>
      </c>
      <c r="C807">
        <v>495.88</v>
      </c>
      <c r="D807">
        <v>69.98</v>
      </c>
    </row>
    <row r="808" spans="1:4" x14ac:dyDescent="0.3">
      <c r="A808" t="s">
        <v>65</v>
      </c>
      <c r="B808" t="s">
        <v>969</v>
      </c>
      <c r="C808">
        <v>752.29</v>
      </c>
      <c r="D808">
        <v>68.63</v>
      </c>
    </row>
    <row r="809" spans="1:4" x14ac:dyDescent="0.3">
      <c r="A809" t="s">
        <v>65</v>
      </c>
      <c r="B809" t="s">
        <v>987</v>
      </c>
      <c r="C809">
        <v>215.11</v>
      </c>
      <c r="D809">
        <v>66.69</v>
      </c>
    </row>
    <row r="810" spans="1:4" x14ac:dyDescent="0.3">
      <c r="A810" t="s">
        <v>65</v>
      </c>
      <c r="B810" t="s">
        <v>1005</v>
      </c>
      <c r="C810">
        <v>141.26</v>
      </c>
      <c r="D810">
        <v>63.76</v>
      </c>
    </row>
    <row r="811" spans="1:4" x14ac:dyDescent="0.3">
      <c r="A811" t="s">
        <v>65</v>
      </c>
      <c r="B811" t="s">
        <v>1013</v>
      </c>
      <c r="C811">
        <v>130.93</v>
      </c>
      <c r="D811">
        <v>61.46</v>
      </c>
    </row>
    <row r="812" spans="1:4" x14ac:dyDescent="0.3">
      <c r="A812" t="s">
        <v>65</v>
      </c>
      <c r="B812" t="s">
        <v>1024</v>
      </c>
      <c r="C812">
        <v>125.84</v>
      </c>
      <c r="D812">
        <v>60.4</v>
      </c>
    </row>
    <row r="813" spans="1:4" x14ac:dyDescent="0.3">
      <c r="A813" t="s">
        <v>65</v>
      </c>
      <c r="B813" t="s">
        <v>1049</v>
      </c>
      <c r="C813">
        <v>138.16</v>
      </c>
      <c r="D813">
        <v>58.03</v>
      </c>
    </row>
    <row r="814" spans="1:4" x14ac:dyDescent="0.3">
      <c r="A814" t="s">
        <v>65</v>
      </c>
      <c r="B814" t="s">
        <v>1062</v>
      </c>
      <c r="C814">
        <v>136.34</v>
      </c>
      <c r="D814">
        <v>56.12</v>
      </c>
    </row>
    <row r="815" spans="1:4" x14ac:dyDescent="0.3">
      <c r="A815" t="s">
        <v>65</v>
      </c>
      <c r="B815" t="s">
        <v>1074</v>
      </c>
      <c r="C815">
        <v>224.66</v>
      </c>
      <c r="D815">
        <v>55.31</v>
      </c>
    </row>
    <row r="816" spans="1:4" x14ac:dyDescent="0.3">
      <c r="A816" t="s">
        <v>65</v>
      </c>
      <c r="B816" t="s">
        <v>1082</v>
      </c>
      <c r="C816">
        <v>1437.48</v>
      </c>
      <c r="D816">
        <v>54.59</v>
      </c>
    </row>
    <row r="817" spans="1:4" x14ac:dyDescent="0.3">
      <c r="A817" t="s">
        <v>65</v>
      </c>
      <c r="B817" t="s">
        <v>1095</v>
      </c>
      <c r="C817">
        <v>110.16</v>
      </c>
      <c r="D817">
        <v>52.88</v>
      </c>
    </row>
    <row r="818" spans="1:4" x14ac:dyDescent="0.3">
      <c r="A818" t="s">
        <v>65</v>
      </c>
      <c r="B818" t="s">
        <v>1098</v>
      </c>
      <c r="C818">
        <v>251.4</v>
      </c>
      <c r="D818">
        <v>52.79</v>
      </c>
    </row>
    <row r="819" spans="1:4" x14ac:dyDescent="0.3">
      <c r="A819" t="s">
        <v>65</v>
      </c>
      <c r="B819" t="s">
        <v>1110</v>
      </c>
      <c r="C819">
        <v>218.42</v>
      </c>
      <c r="D819">
        <v>52.03</v>
      </c>
    </row>
    <row r="820" spans="1:4" x14ac:dyDescent="0.3">
      <c r="A820" t="s">
        <v>65</v>
      </c>
      <c r="B820" t="s">
        <v>1136</v>
      </c>
      <c r="C820">
        <v>195.05</v>
      </c>
      <c r="D820">
        <v>49.86</v>
      </c>
    </row>
    <row r="821" spans="1:4" x14ac:dyDescent="0.3">
      <c r="A821" t="s">
        <v>65</v>
      </c>
      <c r="B821" t="s">
        <v>1156</v>
      </c>
      <c r="C821">
        <v>532.16</v>
      </c>
      <c r="D821">
        <v>48.38</v>
      </c>
    </row>
    <row r="822" spans="1:4" x14ac:dyDescent="0.3">
      <c r="A822" t="s">
        <v>65</v>
      </c>
      <c r="B822" t="s">
        <v>1163</v>
      </c>
      <c r="C822">
        <v>137.16999999999999</v>
      </c>
      <c r="D822">
        <v>47.73</v>
      </c>
    </row>
    <row r="823" spans="1:4" x14ac:dyDescent="0.3">
      <c r="A823" t="s">
        <v>65</v>
      </c>
      <c r="B823" t="s">
        <v>1170</v>
      </c>
      <c r="C823">
        <v>99.9</v>
      </c>
      <c r="D823">
        <v>46.95</v>
      </c>
    </row>
    <row r="824" spans="1:4" x14ac:dyDescent="0.3">
      <c r="A824" t="s">
        <v>65</v>
      </c>
      <c r="B824" t="s">
        <v>1173</v>
      </c>
      <c r="C824">
        <v>160.54</v>
      </c>
      <c r="D824">
        <v>46.56</v>
      </c>
    </row>
    <row r="825" spans="1:4" x14ac:dyDescent="0.3">
      <c r="A825" t="s">
        <v>65</v>
      </c>
      <c r="B825" t="s">
        <v>1186</v>
      </c>
      <c r="C825">
        <v>97.61</v>
      </c>
      <c r="D825">
        <v>44.82</v>
      </c>
    </row>
    <row r="826" spans="1:4" x14ac:dyDescent="0.3">
      <c r="A826" t="s">
        <v>65</v>
      </c>
      <c r="B826" t="s">
        <v>1203</v>
      </c>
      <c r="C826">
        <v>217.32</v>
      </c>
      <c r="D826">
        <v>43.55</v>
      </c>
    </row>
    <row r="827" spans="1:4" x14ac:dyDescent="0.3">
      <c r="A827" t="s">
        <v>65</v>
      </c>
      <c r="B827" t="s">
        <v>1209</v>
      </c>
      <c r="C827">
        <v>139.44</v>
      </c>
      <c r="D827">
        <v>43.23</v>
      </c>
    </row>
    <row r="828" spans="1:4" x14ac:dyDescent="0.3">
      <c r="A828" t="s">
        <v>65</v>
      </c>
      <c r="B828" t="s">
        <v>1212</v>
      </c>
      <c r="C828">
        <v>94.93</v>
      </c>
      <c r="D828">
        <v>43.14</v>
      </c>
    </row>
    <row r="829" spans="1:4" x14ac:dyDescent="0.3">
      <c r="A829" t="s">
        <v>65</v>
      </c>
      <c r="B829" t="s">
        <v>1227</v>
      </c>
      <c r="C829">
        <v>98.87</v>
      </c>
      <c r="D829">
        <v>42.24</v>
      </c>
    </row>
    <row r="830" spans="1:4" x14ac:dyDescent="0.3">
      <c r="A830" t="s">
        <v>65</v>
      </c>
      <c r="B830" t="s">
        <v>1243</v>
      </c>
      <c r="C830">
        <v>104.98</v>
      </c>
      <c r="D830">
        <v>40.950000000000003</v>
      </c>
    </row>
    <row r="831" spans="1:4" x14ac:dyDescent="0.3">
      <c r="A831" t="s">
        <v>65</v>
      </c>
      <c r="B831" t="s">
        <v>1259</v>
      </c>
      <c r="C831">
        <v>88.11</v>
      </c>
      <c r="D831">
        <v>39.65</v>
      </c>
    </row>
    <row r="832" spans="1:4" x14ac:dyDescent="0.3">
      <c r="A832" t="s">
        <v>65</v>
      </c>
      <c r="B832" t="s">
        <v>1265</v>
      </c>
      <c r="C832">
        <v>133.13999999999999</v>
      </c>
      <c r="D832">
        <v>39.19</v>
      </c>
    </row>
    <row r="833" spans="1:4" x14ac:dyDescent="0.3">
      <c r="A833" t="s">
        <v>65</v>
      </c>
      <c r="B833" t="s">
        <v>1271</v>
      </c>
      <c r="C833">
        <v>167.93</v>
      </c>
      <c r="D833">
        <v>38.619999999999997</v>
      </c>
    </row>
    <row r="834" spans="1:4" x14ac:dyDescent="0.3">
      <c r="A834" t="s">
        <v>65</v>
      </c>
      <c r="B834" t="s">
        <v>1277</v>
      </c>
      <c r="C834">
        <v>884</v>
      </c>
      <c r="D834">
        <v>38.01</v>
      </c>
    </row>
    <row r="835" spans="1:4" x14ac:dyDescent="0.3">
      <c r="A835" t="s">
        <v>65</v>
      </c>
      <c r="B835" t="s">
        <v>1287</v>
      </c>
      <c r="C835">
        <v>179.14</v>
      </c>
      <c r="D835">
        <v>37.18</v>
      </c>
    </row>
    <row r="836" spans="1:4" x14ac:dyDescent="0.3">
      <c r="A836" t="s">
        <v>65</v>
      </c>
      <c r="B836" t="s">
        <v>1309</v>
      </c>
      <c r="C836">
        <v>151.66</v>
      </c>
      <c r="D836">
        <v>35.46</v>
      </c>
    </row>
    <row r="837" spans="1:4" x14ac:dyDescent="0.3">
      <c r="A837" t="s">
        <v>65</v>
      </c>
      <c r="B837" t="s">
        <v>1340</v>
      </c>
      <c r="C837">
        <v>138.18</v>
      </c>
      <c r="D837">
        <v>32.92</v>
      </c>
    </row>
    <row r="838" spans="1:4" x14ac:dyDescent="0.3">
      <c r="A838" t="s">
        <v>65</v>
      </c>
      <c r="B838" t="s">
        <v>1352</v>
      </c>
      <c r="C838">
        <v>79.06</v>
      </c>
      <c r="D838">
        <v>31.88</v>
      </c>
    </row>
    <row r="839" spans="1:4" x14ac:dyDescent="0.3">
      <c r="A839" t="s">
        <v>65</v>
      </c>
      <c r="B839" t="s">
        <v>1356</v>
      </c>
      <c r="C839">
        <v>66.819999999999993</v>
      </c>
      <c r="D839">
        <v>31.56</v>
      </c>
    </row>
    <row r="840" spans="1:4" x14ac:dyDescent="0.3">
      <c r="A840" t="s">
        <v>65</v>
      </c>
      <c r="B840" t="s">
        <v>1363</v>
      </c>
      <c r="C840">
        <v>75.17</v>
      </c>
      <c r="D840">
        <v>31.36</v>
      </c>
    </row>
    <row r="841" spans="1:4" x14ac:dyDescent="0.3">
      <c r="A841" t="s">
        <v>65</v>
      </c>
      <c r="B841" t="s">
        <v>1376</v>
      </c>
      <c r="C841">
        <v>127.54</v>
      </c>
      <c r="D841">
        <v>30.3</v>
      </c>
    </row>
    <row r="842" spans="1:4" x14ac:dyDescent="0.3">
      <c r="A842" t="s">
        <v>65</v>
      </c>
      <c r="B842" t="s">
        <v>1384</v>
      </c>
      <c r="C842">
        <v>128.03</v>
      </c>
      <c r="D842">
        <v>29.74</v>
      </c>
    </row>
    <row r="843" spans="1:4" x14ac:dyDescent="0.3">
      <c r="A843" t="s">
        <v>65</v>
      </c>
      <c r="B843" t="s">
        <v>1409</v>
      </c>
      <c r="C843">
        <v>58.32</v>
      </c>
      <c r="D843">
        <v>27.99</v>
      </c>
    </row>
    <row r="844" spans="1:4" x14ac:dyDescent="0.3">
      <c r="A844" t="s">
        <v>65</v>
      </c>
      <c r="B844" t="s">
        <v>1416</v>
      </c>
      <c r="C844">
        <v>272.89</v>
      </c>
      <c r="D844">
        <v>27.29</v>
      </c>
    </row>
    <row r="845" spans="1:4" x14ac:dyDescent="0.3">
      <c r="A845" t="s">
        <v>65</v>
      </c>
      <c r="B845" t="s">
        <v>1421</v>
      </c>
      <c r="C845">
        <v>57.41</v>
      </c>
      <c r="D845">
        <v>26.91</v>
      </c>
    </row>
    <row r="846" spans="1:4" x14ac:dyDescent="0.3">
      <c r="A846" t="s">
        <v>65</v>
      </c>
      <c r="B846" t="s">
        <v>1426</v>
      </c>
      <c r="C846">
        <v>82.83</v>
      </c>
      <c r="D846">
        <v>26.72</v>
      </c>
    </row>
    <row r="847" spans="1:4" x14ac:dyDescent="0.3">
      <c r="A847" t="s">
        <v>65</v>
      </c>
      <c r="B847" t="s">
        <v>1427</v>
      </c>
      <c r="C847">
        <v>209.31</v>
      </c>
      <c r="D847">
        <v>26.51</v>
      </c>
    </row>
    <row r="848" spans="1:4" x14ac:dyDescent="0.3">
      <c r="A848" t="s">
        <v>65</v>
      </c>
      <c r="B848" t="s">
        <v>1433</v>
      </c>
      <c r="C848">
        <v>54.91</v>
      </c>
      <c r="D848">
        <v>25.85</v>
      </c>
    </row>
    <row r="849" spans="1:4" x14ac:dyDescent="0.3">
      <c r="A849" t="s">
        <v>65</v>
      </c>
      <c r="B849" t="s">
        <v>1435</v>
      </c>
      <c r="C849">
        <v>60.03</v>
      </c>
      <c r="D849">
        <v>25.76</v>
      </c>
    </row>
    <row r="850" spans="1:4" x14ac:dyDescent="0.3">
      <c r="A850" t="s">
        <v>65</v>
      </c>
      <c r="B850" t="s">
        <v>1451</v>
      </c>
      <c r="C850">
        <v>71.98</v>
      </c>
      <c r="D850">
        <v>24.29</v>
      </c>
    </row>
    <row r="851" spans="1:4" x14ac:dyDescent="0.3">
      <c r="A851" t="s">
        <v>65</v>
      </c>
      <c r="B851" t="s">
        <v>1464</v>
      </c>
      <c r="C851">
        <v>94.99</v>
      </c>
      <c r="D851">
        <v>23.62</v>
      </c>
    </row>
    <row r="852" spans="1:4" x14ac:dyDescent="0.3">
      <c r="A852" t="s">
        <v>65</v>
      </c>
      <c r="B852" t="s">
        <v>1491</v>
      </c>
      <c r="C852">
        <v>49.95</v>
      </c>
      <c r="D852">
        <v>22.48</v>
      </c>
    </row>
    <row r="853" spans="1:4" x14ac:dyDescent="0.3">
      <c r="A853" t="s">
        <v>65</v>
      </c>
      <c r="B853" t="s">
        <v>1513</v>
      </c>
      <c r="C853">
        <v>233.38</v>
      </c>
      <c r="D853">
        <v>21.57</v>
      </c>
    </row>
    <row r="854" spans="1:4" x14ac:dyDescent="0.3">
      <c r="A854" t="s">
        <v>65</v>
      </c>
      <c r="B854" t="s">
        <v>1540</v>
      </c>
      <c r="C854">
        <v>64.040000000000006</v>
      </c>
      <c r="D854">
        <v>20.02</v>
      </c>
    </row>
    <row r="855" spans="1:4" x14ac:dyDescent="0.3">
      <c r="A855" t="s">
        <v>65</v>
      </c>
      <c r="B855" t="s">
        <v>1546</v>
      </c>
      <c r="C855">
        <v>65.25</v>
      </c>
      <c r="D855">
        <v>19.29</v>
      </c>
    </row>
    <row r="856" spans="1:4" x14ac:dyDescent="0.3">
      <c r="A856" t="s">
        <v>65</v>
      </c>
      <c r="B856" t="s">
        <v>1599</v>
      </c>
      <c r="C856">
        <v>1722.2</v>
      </c>
      <c r="D856">
        <v>15.8</v>
      </c>
    </row>
    <row r="857" spans="1:4" x14ac:dyDescent="0.3">
      <c r="A857" t="s">
        <v>65</v>
      </c>
      <c r="B857" t="s">
        <v>1609</v>
      </c>
      <c r="C857">
        <v>136.46</v>
      </c>
      <c r="D857">
        <v>15.35</v>
      </c>
    </row>
    <row r="858" spans="1:4" x14ac:dyDescent="0.3">
      <c r="A858" t="s">
        <v>65</v>
      </c>
      <c r="B858" t="s">
        <v>1637</v>
      </c>
      <c r="C858">
        <v>47.75</v>
      </c>
      <c r="D858">
        <v>14.22</v>
      </c>
    </row>
    <row r="859" spans="1:4" x14ac:dyDescent="0.3">
      <c r="A859" t="s">
        <v>65</v>
      </c>
      <c r="B859" t="s">
        <v>1652</v>
      </c>
      <c r="C859">
        <v>45.15</v>
      </c>
      <c r="D859">
        <v>13.46</v>
      </c>
    </row>
    <row r="860" spans="1:4" x14ac:dyDescent="0.3">
      <c r="A860" t="s">
        <v>65</v>
      </c>
      <c r="B860" t="s">
        <v>1684</v>
      </c>
      <c r="C860">
        <v>24.02</v>
      </c>
      <c r="D860">
        <v>11.21</v>
      </c>
    </row>
    <row r="861" spans="1:4" x14ac:dyDescent="0.3">
      <c r="A861" t="s">
        <v>65</v>
      </c>
      <c r="B861" t="s">
        <v>1725</v>
      </c>
      <c r="C861">
        <v>350.2</v>
      </c>
      <c r="D861">
        <v>8.76</v>
      </c>
    </row>
    <row r="862" spans="1:4" x14ac:dyDescent="0.3">
      <c r="A862" t="s">
        <v>65</v>
      </c>
      <c r="B862" t="s">
        <v>1764</v>
      </c>
      <c r="C862">
        <v>30.58</v>
      </c>
      <c r="D862">
        <v>6.66</v>
      </c>
    </row>
    <row r="863" spans="1:4" x14ac:dyDescent="0.3">
      <c r="A863" t="s">
        <v>65</v>
      </c>
      <c r="B863" t="s">
        <v>1767</v>
      </c>
      <c r="C863">
        <v>23.52</v>
      </c>
      <c r="D863">
        <v>6.35</v>
      </c>
    </row>
    <row r="864" spans="1:4" x14ac:dyDescent="0.3">
      <c r="A864" t="s">
        <v>65</v>
      </c>
      <c r="B864" t="s">
        <v>1814</v>
      </c>
      <c r="C864">
        <v>133.13</v>
      </c>
      <c r="D864">
        <v>3.7</v>
      </c>
    </row>
    <row r="865" spans="1:4" x14ac:dyDescent="0.3">
      <c r="A865" t="s">
        <v>65</v>
      </c>
      <c r="B865" t="s">
        <v>1822</v>
      </c>
      <c r="C865">
        <v>141.61000000000001</v>
      </c>
      <c r="D865">
        <v>3.45</v>
      </c>
    </row>
    <row r="866" spans="1:4" x14ac:dyDescent="0.3">
      <c r="A866" t="s">
        <v>65</v>
      </c>
      <c r="B866" t="s">
        <v>1874</v>
      </c>
      <c r="C866">
        <v>99.8</v>
      </c>
      <c r="D866">
        <v>-0.7</v>
      </c>
    </row>
    <row r="867" spans="1:4" x14ac:dyDescent="0.3">
      <c r="A867" t="s">
        <v>65</v>
      </c>
      <c r="B867" t="s">
        <v>1904</v>
      </c>
      <c r="C867">
        <v>23.86</v>
      </c>
      <c r="D867">
        <v>-4.1100000000000003</v>
      </c>
    </row>
    <row r="868" spans="1:4" x14ac:dyDescent="0.3">
      <c r="A868" t="s">
        <v>65</v>
      </c>
      <c r="B868" t="s">
        <v>1908</v>
      </c>
      <c r="C868">
        <v>36.4</v>
      </c>
      <c r="D868">
        <v>-4.8499999999999996</v>
      </c>
    </row>
    <row r="869" spans="1:4" x14ac:dyDescent="0.3">
      <c r="A869" t="s">
        <v>65</v>
      </c>
      <c r="B869" t="s">
        <v>1916</v>
      </c>
      <c r="C869">
        <v>1764.53</v>
      </c>
      <c r="D869">
        <v>-6.08</v>
      </c>
    </row>
    <row r="870" spans="1:4" x14ac:dyDescent="0.3">
      <c r="A870" t="s">
        <v>65</v>
      </c>
      <c r="B870" t="s">
        <v>1955</v>
      </c>
      <c r="C870">
        <v>63.63</v>
      </c>
      <c r="D870">
        <v>-13.91</v>
      </c>
    </row>
    <row r="871" spans="1:4" x14ac:dyDescent="0.3">
      <c r="A871" t="s">
        <v>65</v>
      </c>
      <c r="B871" t="s">
        <v>1974</v>
      </c>
      <c r="C871">
        <v>303.36</v>
      </c>
      <c r="D871">
        <v>-20.48</v>
      </c>
    </row>
    <row r="872" spans="1:4" x14ac:dyDescent="0.3">
      <c r="A872" t="s">
        <v>65</v>
      </c>
      <c r="B872" t="s">
        <v>1998</v>
      </c>
      <c r="C872">
        <v>4384.04</v>
      </c>
      <c r="D872">
        <v>-36.53</v>
      </c>
    </row>
    <row r="873" spans="1:4" x14ac:dyDescent="0.3">
      <c r="A873" t="s">
        <v>65</v>
      </c>
      <c r="B873" t="s">
        <v>2022</v>
      </c>
      <c r="C873">
        <v>384.85</v>
      </c>
      <c r="D873">
        <v>-55.98</v>
      </c>
    </row>
    <row r="874" spans="1:4" x14ac:dyDescent="0.3">
      <c r="A874" t="s">
        <v>65</v>
      </c>
      <c r="B874" t="s">
        <v>2024</v>
      </c>
      <c r="C874">
        <v>1263.96</v>
      </c>
      <c r="D874">
        <v>-56.32</v>
      </c>
    </row>
    <row r="875" spans="1:4" x14ac:dyDescent="0.3">
      <c r="A875" t="s">
        <v>65</v>
      </c>
      <c r="B875" t="s">
        <v>2052</v>
      </c>
      <c r="C875">
        <v>832.24</v>
      </c>
      <c r="D875">
        <v>-91.5</v>
      </c>
    </row>
    <row r="876" spans="1:4" x14ac:dyDescent="0.3">
      <c r="A876" t="s">
        <v>65</v>
      </c>
      <c r="B876" t="s">
        <v>2067</v>
      </c>
      <c r="C876">
        <v>266.33999999999997</v>
      </c>
      <c r="D876">
        <v>-120.18</v>
      </c>
    </row>
    <row r="877" spans="1:4" x14ac:dyDescent="0.3">
      <c r="A877" t="s">
        <v>65</v>
      </c>
      <c r="B877" t="s">
        <v>2073</v>
      </c>
      <c r="C877">
        <v>4507.8999999999996</v>
      </c>
      <c r="D877">
        <v>-128.80000000000001</v>
      </c>
    </row>
    <row r="878" spans="1:4" x14ac:dyDescent="0.3">
      <c r="A878" t="s">
        <v>65</v>
      </c>
      <c r="B878" t="s">
        <v>2079</v>
      </c>
      <c r="C878">
        <v>1436.23</v>
      </c>
      <c r="D878">
        <v>-143.62</v>
      </c>
    </row>
    <row r="879" spans="1:4" x14ac:dyDescent="0.3">
      <c r="A879" t="s">
        <v>65</v>
      </c>
      <c r="B879" t="s">
        <v>2137</v>
      </c>
      <c r="C879">
        <v>3457.44</v>
      </c>
      <c r="D879">
        <v>-392.55</v>
      </c>
    </row>
    <row r="880" spans="1:4" x14ac:dyDescent="0.3">
      <c r="A880" t="s">
        <v>65</v>
      </c>
      <c r="B880" t="s">
        <v>2143</v>
      </c>
      <c r="C880">
        <v>2836.37</v>
      </c>
      <c r="D880">
        <v>-427.86</v>
      </c>
    </row>
    <row r="881" spans="1:4" x14ac:dyDescent="0.3">
      <c r="A881" t="s">
        <v>65</v>
      </c>
      <c r="B881" t="s">
        <v>2146</v>
      </c>
      <c r="C881">
        <v>2542.4699999999998</v>
      </c>
      <c r="D881">
        <v>-445.59</v>
      </c>
    </row>
    <row r="882" spans="1:4" x14ac:dyDescent="0.3">
      <c r="A882" t="s">
        <v>253</v>
      </c>
      <c r="B882" t="s">
        <v>254</v>
      </c>
      <c r="C882">
        <v>3955.68</v>
      </c>
      <c r="D882">
        <v>573.72</v>
      </c>
    </row>
    <row r="883" spans="1:4" x14ac:dyDescent="0.3">
      <c r="A883" t="s">
        <v>253</v>
      </c>
      <c r="B883" t="s">
        <v>647</v>
      </c>
      <c r="C883">
        <v>671.81</v>
      </c>
      <c r="D883">
        <v>153.96</v>
      </c>
    </row>
    <row r="884" spans="1:4" x14ac:dyDescent="0.3">
      <c r="A884" t="s">
        <v>253</v>
      </c>
      <c r="B884" t="s">
        <v>710</v>
      </c>
      <c r="C884">
        <v>360.71</v>
      </c>
      <c r="D884">
        <v>127.07</v>
      </c>
    </row>
    <row r="885" spans="1:4" x14ac:dyDescent="0.3">
      <c r="A885" t="s">
        <v>253</v>
      </c>
      <c r="B885" t="s">
        <v>889</v>
      </c>
      <c r="C885">
        <v>7139.8</v>
      </c>
      <c r="D885">
        <v>84</v>
      </c>
    </row>
    <row r="886" spans="1:4" x14ac:dyDescent="0.3">
      <c r="A886" t="s">
        <v>253</v>
      </c>
      <c r="B886" t="s">
        <v>894</v>
      </c>
      <c r="C886">
        <v>277.92</v>
      </c>
      <c r="D886">
        <v>83.38</v>
      </c>
    </row>
    <row r="887" spans="1:4" x14ac:dyDescent="0.3">
      <c r="A887" t="s">
        <v>253</v>
      </c>
      <c r="B887" t="s">
        <v>2005</v>
      </c>
      <c r="C887">
        <v>1469.16</v>
      </c>
      <c r="D887">
        <v>-40.58</v>
      </c>
    </row>
    <row r="888" spans="1:4" x14ac:dyDescent="0.3">
      <c r="A888" t="s">
        <v>253</v>
      </c>
      <c r="B888" t="s">
        <v>2166</v>
      </c>
      <c r="C888">
        <v>1007.26</v>
      </c>
      <c r="D888">
        <v>-586.84</v>
      </c>
    </row>
    <row r="889" spans="1:4" x14ac:dyDescent="0.3">
      <c r="A889" t="s">
        <v>553</v>
      </c>
      <c r="B889" t="s">
        <v>554</v>
      </c>
      <c r="C889">
        <v>969.25</v>
      </c>
      <c r="D889">
        <v>204.33</v>
      </c>
    </row>
    <row r="890" spans="1:4" x14ac:dyDescent="0.3">
      <c r="A890" t="s">
        <v>553</v>
      </c>
      <c r="B890" t="s">
        <v>835</v>
      </c>
      <c r="C890">
        <v>227.94</v>
      </c>
      <c r="D890">
        <v>94.32</v>
      </c>
    </row>
    <row r="891" spans="1:4" x14ac:dyDescent="0.3">
      <c r="A891" t="s">
        <v>553</v>
      </c>
      <c r="B891" t="s">
        <v>1231</v>
      </c>
      <c r="C891">
        <v>253.65</v>
      </c>
      <c r="D891">
        <v>41.87</v>
      </c>
    </row>
    <row r="892" spans="1:4" x14ac:dyDescent="0.3">
      <c r="A892" t="s">
        <v>1255</v>
      </c>
      <c r="B892" t="s">
        <v>1256</v>
      </c>
      <c r="C892">
        <v>171.09</v>
      </c>
      <c r="D892">
        <v>39.75</v>
      </c>
    </row>
    <row r="893" spans="1:4" x14ac:dyDescent="0.3">
      <c r="A893" t="s">
        <v>923</v>
      </c>
      <c r="B893" t="s">
        <v>924</v>
      </c>
      <c r="C893">
        <v>386.08</v>
      </c>
      <c r="D893">
        <v>76.92</v>
      </c>
    </row>
    <row r="894" spans="1:4" x14ac:dyDescent="0.3">
      <c r="A894" t="s">
        <v>923</v>
      </c>
      <c r="B894" t="s">
        <v>1224</v>
      </c>
      <c r="C894">
        <v>136.28</v>
      </c>
      <c r="D894">
        <v>42.42</v>
      </c>
    </row>
    <row r="895" spans="1:4" x14ac:dyDescent="0.3">
      <c r="A895" t="s">
        <v>923</v>
      </c>
      <c r="B895" t="s">
        <v>1626</v>
      </c>
      <c r="C895">
        <v>78.040000000000006</v>
      </c>
      <c r="D895">
        <v>14.75</v>
      </c>
    </row>
    <row r="896" spans="1:4" x14ac:dyDescent="0.3">
      <c r="A896" t="s">
        <v>112</v>
      </c>
      <c r="B896" t="s">
        <v>113</v>
      </c>
      <c r="C896">
        <v>8774.5</v>
      </c>
      <c r="D896">
        <v>1305.6500000000001</v>
      </c>
    </row>
    <row r="897" spans="1:4" x14ac:dyDescent="0.3">
      <c r="A897" t="s">
        <v>112</v>
      </c>
      <c r="B897" t="s">
        <v>1118</v>
      </c>
      <c r="C897">
        <v>2552.54</v>
      </c>
      <c r="D897">
        <v>51.05</v>
      </c>
    </row>
    <row r="898" spans="1:4" x14ac:dyDescent="0.3">
      <c r="A898" t="s">
        <v>1832</v>
      </c>
      <c r="B898" t="s">
        <v>1833</v>
      </c>
      <c r="C898">
        <v>5.76</v>
      </c>
      <c r="D898">
        <v>2.82</v>
      </c>
    </row>
    <row r="899" spans="1:4" x14ac:dyDescent="0.3">
      <c r="A899" t="s">
        <v>993</v>
      </c>
      <c r="B899" t="s">
        <v>994</v>
      </c>
      <c r="C899">
        <v>146.69</v>
      </c>
      <c r="D899">
        <v>64.86</v>
      </c>
    </row>
    <row r="900" spans="1:4" x14ac:dyDescent="0.3">
      <c r="A900" t="s">
        <v>1371</v>
      </c>
      <c r="B900" t="s">
        <v>1372</v>
      </c>
      <c r="C900">
        <v>123.12</v>
      </c>
      <c r="D900">
        <v>30.59</v>
      </c>
    </row>
    <row r="901" spans="1:4" x14ac:dyDescent="0.3">
      <c r="A901" t="s">
        <v>639</v>
      </c>
      <c r="B901" t="s">
        <v>640</v>
      </c>
      <c r="C901">
        <v>334.37</v>
      </c>
      <c r="D901">
        <v>155.78</v>
      </c>
    </row>
    <row r="902" spans="1:4" x14ac:dyDescent="0.3">
      <c r="A902" t="s">
        <v>639</v>
      </c>
      <c r="B902" t="s">
        <v>649</v>
      </c>
      <c r="C902">
        <v>1146.07</v>
      </c>
      <c r="D902">
        <v>152.16999999999999</v>
      </c>
    </row>
    <row r="903" spans="1:4" x14ac:dyDescent="0.3">
      <c r="A903" t="s">
        <v>57</v>
      </c>
      <c r="B903" t="s">
        <v>58</v>
      </c>
      <c r="C903">
        <v>10822.36</v>
      </c>
      <c r="D903">
        <v>3085.03</v>
      </c>
    </row>
    <row r="904" spans="1:4" x14ac:dyDescent="0.3">
      <c r="A904" t="s">
        <v>57</v>
      </c>
      <c r="B904" t="s">
        <v>1708</v>
      </c>
      <c r="C904">
        <v>63.82</v>
      </c>
      <c r="D904">
        <v>9.57</v>
      </c>
    </row>
    <row r="905" spans="1:4" x14ac:dyDescent="0.3">
      <c r="A905" t="s">
        <v>57</v>
      </c>
      <c r="B905" t="s">
        <v>2123</v>
      </c>
      <c r="C905">
        <v>3481.51</v>
      </c>
      <c r="D905">
        <v>-295.81</v>
      </c>
    </row>
    <row r="906" spans="1:4" x14ac:dyDescent="0.3">
      <c r="A906" t="s">
        <v>402</v>
      </c>
      <c r="B906" t="s">
        <v>403</v>
      </c>
      <c r="C906">
        <v>1047.74</v>
      </c>
      <c r="D906">
        <v>340.51</v>
      </c>
    </row>
    <row r="907" spans="1:4" x14ac:dyDescent="0.3">
      <c r="A907" t="s">
        <v>536</v>
      </c>
      <c r="B907" t="s">
        <v>537</v>
      </c>
      <c r="C907">
        <v>626.54</v>
      </c>
      <c r="D907">
        <v>212.3</v>
      </c>
    </row>
    <row r="908" spans="1:4" x14ac:dyDescent="0.3">
      <c r="A908" t="s">
        <v>536</v>
      </c>
      <c r="B908" t="s">
        <v>935</v>
      </c>
      <c r="C908">
        <v>1243.79</v>
      </c>
      <c r="D908">
        <v>74.989999999999995</v>
      </c>
    </row>
    <row r="909" spans="1:4" x14ac:dyDescent="0.3">
      <c r="A909" t="s">
        <v>536</v>
      </c>
      <c r="B909" t="s">
        <v>1180</v>
      </c>
      <c r="C909">
        <v>596.62</v>
      </c>
      <c r="D909">
        <v>45.89</v>
      </c>
    </row>
    <row r="910" spans="1:4" x14ac:dyDescent="0.3">
      <c r="A910" t="s">
        <v>536</v>
      </c>
      <c r="B910" t="s">
        <v>1594</v>
      </c>
      <c r="C910">
        <v>80.78</v>
      </c>
      <c r="D910">
        <v>16.16</v>
      </c>
    </row>
    <row r="911" spans="1:4" x14ac:dyDescent="0.3">
      <c r="A911" t="s">
        <v>536</v>
      </c>
      <c r="B911" t="s">
        <v>1772</v>
      </c>
      <c r="C911">
        <v>26.69</v>
      </c>
      <c r="D911">
        <v>6.12</v>
      </c>
    </row>
    <row r="912" spans="1:4" x14ac:dyDescent="0.3">
      <c r="A912" t="s">
        <v>536</v>
      </c>
      <c r="B912" t="s">
        <v>1837</v>
      </c>
      <c r="C912">
        <v>35.71</v>
      </c>
      <c r="D912">
        <v>2.68</v>
      </c>
    </row>
    <row r="913" spans="1:4" x14ac:dyDescent="0.3">
      <c r="A913" t="s">
        <v>1288</v>
      </c>
      <c r="B913" t="s">
        <v>1289</v>
      </c>
      <c r="C913">
        <v>102.49</v>
      </c>
      <c r="D913">
        <v>37.11</v>
      </c>
    </row>
    <row r="914" spans="1:4" x14ac:dyDescent="0.3">
      <c r="A914" t="s">
        <v>260</v>
      </c>
      <c r="B914" t="s">
        <v>261</v>
      </c>
      <c r="C914">
        <v>4886.46</v>
      </c>
      <c r="D914">
        <v>566.47</v>
      </c>
    </row>
    <row r="915" spans="1:4" x14ac:dyDescent="0.3">
      <c r="A915" t="s">
        <v>260</v>
      </c>
      <c r="B915" t="s">
        <v>320</v>
      </c>
      <c r="C915">
        <v>4268</v>
      </c>
      <c r="D915">
        <v>466.4</v>
      </c>
    </row>
    <row r="916" spans="1:4" x14ac:dyDescent="0.3">
      <c r="A916" t="s">
        <v>260</v>
      </c>
      <c r="B916" t="s">
        <v>1965</v>
      </c>
      <c r="C916">
        <v>188.95</v>
      </c>
      <c r="D916">
        <v>-18.190000000000001</v>
      </c>
    </row>
    <row r="917" spans="1:4" x14ac:dyDescent="0.3">
      <c r="A917" t="s">
        <v>214</v>
      </c>
      <c r="B917" t="s">
        <v>215</v>
      </c>
      <c r="C917">
        <v>5861.53</v>
      </c>
      <c r="D917">
        <v>701.98</v>
      </c>
    </row>
    <row r="918" spans="1:4" x14ac:dyDescent="0.3">
      <c r="A918" t="s">
        <v>214</v>
      </c>
      <c r="B918" t="s">
        <v>1520</v>
      </c>
      <c r="C918">
        <v>344.72</v>
      </c>
      <c r="D918">
        <v>20.98</v>
      </c>
    </row>
    <row r="919" spans="1:4" x14ac:dyDescent="0.3">
      <c r="A919" t="s">
        <v>214</v>
      </c>
      <c r="B919" t="s">
        <v>2057</v>
      </c>
      <c r="C919">
        <v>1281.44</v>
      </c>
      <c r="D919">
        <v>-108.58</v>
      </c>
    </row>
    <row r="920" spans="1:4" x14ac:dyDescent="0.3">
      <c r="A920" t="s">
        <v>128</v>
      </c>
      <c r="B920" t="s">
        <v>129</v>
      </c>
      <c r="C920">
        <v>6936.1</v>
      </c>
      <c r="D920">
        <v>1233.08</v>
      </c>
    </row>
    <row r="921" spans="1:4" x14ac:dyDescent="0.3">
      <c r="A921" t="s">
        <v>128</v>
      </c>
      <c r="B921" t="s">
        <v>1424</v>
      </c>
      <c r="C921">
        <v>96.73</v>
      </c>
      <c r="D921">
        <v>26.84</v>
      </c>
    </row>
    <row r="922" spans="1:4" x14ac:dyDescent="0.3">
      <c r="A922" t="s">
        <v>128</v>
      </c>
      <c r="B922" t="s">
        <v>1690</v>
      </c>
      <c r="C922">
        <v>25.99</v>
      </c>
      <c r="D922">
        <v>10.67</v>
      </c>
    </row>
    <row r="923" spans="1:4" x14ac:dyDescent="0.3">
      <c r="A923" t="s">
        <v>960</v>
      </c>
      <c r="B923" t="s">
        <v>961</v>
      </c>
      <c r="C923">
        <v>169.02</v>
      </c>
      <c r="D923">
        <v>70.349999999999994</v>
      </c>
    </row>
    <row r="924" spans="1:4" x14ac:dyDescent="0.3">
      <c r="A924" t="s">
        <v>960</v>
      </c>
      <c r="B924" t="s">
        <v>2140</v>
      </c>
      <c r="C924">
        <v>496.02</v>
      </c>
      <c r="D924">
        <v>-411.33</v>
      </c>
    </row>
    <row r="925" spans="1:4" x14ac:dyDescent="0.3">
      <c r="A925" t="s">
        <v>1068</v>
      </c>
      <c r="B925" t="s">
        <v>1069</v>
      </c>
      <c r="C925">
        <v>137.53</v>
      </c>
      <c r="D925">
        <v>55.54</v>
      </c>
    </row>
    <row r="926" spans="1:4" x14ac:dyDescent="0.3">
      <c r="A926" t="s">
        <v>859</v>
      </c>
      <c r="B926" t="s">
        <v>860</v>
      </c>
      <c r="C926">
        <v>551.91</v>
      </c>
      <c r="D926">
        <v>89.98</v>
      </c>
    </row>
    <row r="927" spans="1:4" x14ac:dyDescent="0.3">
      <c r="A927" t="s">
        <v>859</v>
      </c>
      <c r="B927" t="s">
        <v>936</v>
      </c>
      <c r="C927">
        <v>265.10000000000002</v>
      </c>
      <c r="D927">
        <v>74.8</v>
      </c>
    </row>
    <row r="928" spans="1:4" x14ac:dyDescent="0.3">
      <c r="A928" t="s">
        <v>859</v>
      </c>
      <c r="B928" t="s">
        <v>1029</v>
      </c>
      <c r="C928">
        <v>330.92</v>
      </c>
      <c r="D928">
        <v>59.59</v>
      </c>
    </row>
    <row r="929" spans="1:4" x14ac:dyDescent="0.3">
      <c r="A929" t="s">
        <v>859</v>
      </c>
      <c r="B929" t="s">
        <v>1148</v>
      </c>
      <c r="C929">
        <v>123.14</v>
      </c>
      <c r="D929">
        <v>48.86</v>
      </c>
    </row>
    <row r="930" spans="1:4" x14ac:dyDescent="0.3">
      <c r="A930" t="s">
        <v>859</v>
      </c>
      <c r="B930" t="s">
        <v>1270</v>
      </c>
      <c r="C930">
        <v>95.9</v>
      </c>
      <c r="D930">
        <v>38.619999999999997</v>
      </c>
    </row>
    <row r="931" spans="1:4" x14ac:dyDescent="0.3">
      <c r="A931" t="s">
        <v>859</v>
      </c>
      <c r="B931" t="s">
        <v>1320</v>
      </c>
      <c r="C931">
        <v>85.54</v>
      </c>
      <c r="D931">
        <v>34.99</v>
      </c>
    </row>
    <row r="932" spans="1:4" x14ac:dyDescent="0.3">
      <c r="A932" t="s">
        <v>859</v>
      </c>
      <c r="B932" t="s">
        <v>1625</v>
      </c>
      <c r="C932">
        <v>116.5</v>
      </c>
      <c r="D932">
        <v>14.83</v>
      </c>
    </row>
    <row r="933" spans="1:4" x14ac:dyDescent="0.3">
      <c r="A933" t="s">
        <v>859</v>
      </c>
      <c r="B933" t="s">
        <v>1688</v>
      </c>
      <c r="C933">
        <v>29.81</v>
      </c>
      <c r="D933">
        <v>10.81</v>
      </c>
    </row>
    <row r="934" spans="1:4" x14ac:dyDescent="0.3">
      <c r="A934" t="s">
        <v>859</v>
      </c>
      <c r="B934" t="s">
        <v>1921</v>
      </c>
      <c r="C934">
        <v>448.9</v>
      </c>
      <c r="D934">
        <v>-7.04</v>
      </c>
    </row>
    <row r="935" spans="1:4" x14ac:dyDescent="0.3">
      <c r="A935" t="s">
        <v>859</v>
      </c>
      <c r="B935" t="s">
        <v>1925</v>
      </c>
      <c r="C935">
        <v>41.64</v>
      </c>
      <c r="D935">
        <v>-7.81</v>
      </c>
    </row>
    <row r="936" spans="1:4" x14ac:dyDescent="0.3">
      <c r="A936" t="s">
        <v>859</v>
      </c>
      <c r="B936" t="s">
        <v>2107</v>
      </c>
      <c r="C936">
        <v>828.1</v>
      </c>
      <c r="D936">
        <v>-216.25</v>
      </c>
    </row>
    <row r="937" spans="1:4" x14ac:dyDescent="0.3">
      <c r="A937" t="s">
        <v>430</v>
      </c>
      <c r="B937" t="s">
        <v>431</v>
      </c>
      <c r="C937">
        <v>1473.11</v>
      </c>
      <c r="D937">
        <v>311.22000000000003</v>
      </c>
    </row>
    <row r="938" spans="1:4" x14ac:dyDescent="0.3">
      <c r="A938" t="s">
        <v>430</v>
      </c>
      <c r="B938" t="s">
        <v>940</v>
      </c>
      <c r="C938">
        <v>163.5</v>
      </c>
      <c r="D938">
        <v>73.88</v>
      </c>
    </row>
    <row r="939" spans="1:4" x14ac:dyDescent="0.3">
      <c r="A939" t="s">
        <v>430</v>
      </c>
      <c r="B939" t="s">
        <v>1107</v>
      </c>
      <c r="C939">
        <v>139.38999999999999</v>
      </c>
      <c r="D939">
        <v>52.27</v>
      </c>
    </row>
    <row r="940" spans="1:4" x14ac:dyDescent="0.3">
      <c r="A940" t="s">
        <v>430</v>
      </c>
      <c r="B940" t="s">
        <v>1385</v>
      </c>
      <c r="C940">
        <v>170.98</v>
      </c>
      <c r="D940">
        <v>29.73</v>
      </c>
    </row>
    <row r="941" spans="1:4" x14ac:dyDescent="0.3">
      <c r="A941" t="s">
        <v>430</v>
      </c>
      <c r="B941" t="s">
        <v>1543</v>
      </c>
      <c r="C941">
        <v>57.35</v>
      </c>
      <c r="D941">
        <v>19.690000000000001</v>
      </c>
    </row>
    <row r="942" spans="1:4" x14ac:dyDescent="0.3">
      <c r="A942" t="s">
        <v>430</v>
      </c>
      <c r="B942" t="s">
        <v>1586</v>
      </c>
      <c r="C942">
        <v>373.44</v>
      </c>
      <c r="D942">
        <v>16.57</v>
      </c>
    </row>
    <row r="943" spans="1:4" x14ac:dyDescent="0.3">
      <c r="A943" t="s">
        <v>430</v>
      </c>
      <c r="B943" t="s">
        <v>1829</v>
      </c>
      <c r="C943">
        <v>7.8</v>
      </c>
      <c r="D943">
        <v>3.04</v>
      </c>
    </row>
    <row r="944" spans="1:4" x14ac:dyDescent="0.3">
      <c r="A944" t="s">
        <v>105</v>
      </c>
      <c r="B944" t="s">
        <v>106</v>
      </c>
      <c r="C944">
        <v>7399.7</v>
      </c>
      <c r="D944">
        <v>1432.44</v>
      </c>
    </row>
    <row r="945" spans="1:4" x14ac:dyDescent="0.3">
      <c r="A945" t="s">
        <v>105</v>
      </c>
      <c r="B945" t="s">
        <v>185</v>
      </c>
      <c r="C945">
        <v>7699.72</v>
      </c>
      <c r="D945">
        <v>780.97</v>
      </c>
    </row>
    <row r="946" spans="1:4" x14ac:dyDescent="0.3">
      <c r="A946" t="s">
        <v>50</v>
      </c>
      <c r="B946" t="s">
        <v>51</v>
      </c>
      <c r="C946">
        <v>15875.92</v>
      </c>
      <c r="D946">
        <v>3345.28</v>
      </c>
    </row>
    <row r="947" spans="1:4" x14ac:dyDescent="0.3">
      <c r="A947" t="s">
        <v>50</v>
      </c>
      <c r="B947" t="s">
        <v>428</v>
      </c>
      <c r="C947">
        <v>3603.29</v>
      </c>
      <c r="D947">
        <v>311.82</v>
      </c>
    </row>
    <row r="948" spans="1:4" x14ac:dyDescent="0.3">
      <c r="A948" t="s">
        <v>50</v>
      </c>
      <c r="B948" t="s">
        <v>956</v>
      </c>
      <c r="C948">
        <v>316.48</v>
      </c>
      <c r="D948">
        <v>71.12</v>
      </c>
    </row>
    <row r="949" spans="1:4" x14ac:dyDescent="0.3">
      <c r="A949" t="s">
        <v>50</v>
      </c>
      <c r="B949" t="s">
        <v>981</v>
      </c>
      <c r="C949">
        <v>151.63</v>
      </c>
      <c r="D949">
        <v>67.39</v>
      </c>
    </row>
    <row r="950" spans="1:4" x14ac:dyDescent="0.3">
      <c r="A950" t="s">
        <v>50</v>
      </c>
      <c r="B950" t="s">
        <v>1130</v>
      </c>
      <c r="C950">
        <v>201.45</v>
      </c>
      <c r="D950">
        <v>50.36</v>
      </c>
    </row>
    <row r="951" spans="1:4" x14ac:dyDescent="0.3">
      <c r="A951" t="s">
        <v>50</v>
      </c>
      <c r="B951" t="s">
        <v>1825</v>
      </c>
      <c r="C951">
        <v>164.99</v>
      </c>
      <c r="D951">
        <v>3.23</v>
      </c>
    </row>
    <row r="952" spans="1:4" x14ac:dyDescent="0.3">
      <c r="A952" t="s">
        <v>50</v>
      </c>
      <c r="B952" t="s">
        <v>2086</v>
      </c>
      <c r="C952">
        <v>3178.13</v>
      </c>
      <c r="D952">
        <v>-167.27</v>
      </c>
    </row>
    <row r="953" spans="1:4" x14ac:dyDescent="0.3">
      <c r="A953" t="s">
        <v>778</v>
      </c>
      <c r="B953" t="s">
        <v>779</v>
      </c>
      <c r="C953">
        <v>280</v>
      </c>
      <c r="D953">
        <v>109.2</v>
      </c>
    </row>
    <row r="954" spans="1:4" x14ac:dyDescent="0.3">
      <c r="A954" t="s">
        <v>778</v>
      </c>
      <c r="B954" t="s">
        <v>1928</v>
      </c>
      <c r="C954">
        <v>1427.68</v>
      </c>
      <c r="D954">
        <v>-8.5500000000000007</v>
      </c>
    </row>
    <row r="955" spans="1:4" x14ac:dyDescent="0.3">
      <c r="A955" t="s">
        <v>103</v>
      </c>
      <c r="B955" t="s">
        <v>104</v>
      </c>
      <c r="C955">
        <v>3040</v>
      </c>
      <c r="D955">
        <v>1459.2</v>
      </c>
    </row>
    <row r="956" spans="1:4" x14ac:dyDescent="0.3">
      <c r="A956" t="s">
        <v>103</v>
      </c>
      <c r="B956" t="s">
        <v>1895</v>
      </c>
      <c r="C956">
        <v>46.59</v>
      </c>
      <c r="D956">
        <v>-2.87</v>
      </c>
    </row>
    <row r="957" spans="1:4" x14ac:dyDescent="0.3">
      <c r="A957" t="s">
        <v>103</v>
      </c>
      <c r="B957" t="s">
        <v>1992</v>
      </c>
      <c r="C957">
        <v>147.93</v>
      </c>
      <c r="D957">
        <v>-31.98</v>
      </c>
    </row>
    <row r="958" spans="1:4" x14ac:dyDescent="0.3">
      <c r="A958" t="s">
        <v>890</v>
      </c>
      <c r="B958" t="s">
        <v>891</v>
      </c>
      <c r="C958">
        <v>515.83000000000004</v>
      </c>
      <c r="D958">
        <v>83.97</v>
      </c>
    </row>
    <row r="959" spans="1:4" x14ac:dyDescent="0.3">
      <c r="A959" t="s">
        <v>890</v>
      </c>
      <c r="B959" t="s">
        <v>1018</v>
      </c>
      <c r="C959">
        <v>134.78</v>
      </c>
      <c r="D959">
        <v>60.65</v>
      </c>
    </row>
    <row r="960" spans="1:4" x14ac:dyDescent="0.3">
      <c r="A960" t="s">
        <v>890</v>
      </c>
      <c r="B960" t="s">
        <v>1051</v>
      </c>
      <c r="C960">
        <v>275.5</v>
      </c>
      <c r="D960">
        <v>58</v>
      </c>
    </row>
    <row r="961" spans="1:4" x14ac:dyDescent="0.3">
      <c r="A961" t="s">
        <v>890</v>
      </c>
      <c r="B961" t="s">
        <v>1836</v>
      </c>
      <c r="C961">
        <v>7.97</v>
      </c>
      <c r="D961">
        <v>2.69</v>
      </c>
    </row>
    <row r="962" spans="1:4" x14ac:dyDescent="0.3">
      <c r="A962" t="s">
        <v>386</v>
      </c>
      <c r="B962" t="s">
        <v>387</v>
      </c>
      <c r="C962">
        <v>1394.95</v>
      </c>
      <c r="D962">
        <v>362.69</v>
      </c>
    </row>
    <row r="963" spans="1:4" x14ac:dyDescent="0.3">
      <c r="A963" t="s">
        <v>386</v>
      </c>
      <c r="B963" t="s">
        <v>1628</v>
      </c>
      <c r="C963">
        <v>75.31</v>
      </c>
      <c r="D963">
        <v>14.62</v>
      </c>
    </row>
    <row r="964" spans="1:4" x14ac:dyDescent="0.3">
      <c r="A964" t="s">
        <v>386</v>
      </c>
      <c r="B964" t="s">
        <v>2160</v>
      </c>
      <c r="C964">
        <v>4166.88</v>
      </c>
      <c r="D964">
        <v>-503.12</v>
      </c>
    </row>
    <row r="965" spans="1:4" x14ac:dyDescent="0.3">
      <c r="A965" t="s">
        <v>224</v>
      </c>
      <c r="B965" t="s">
        <v>225</v>
      </c>
      <c r="C965">
        <v>2957.71</v>
      </c>
      <c r="D965">
        <v>689.18</v>
      </c>
    </row>
    <row r="966" spans="1:4" x14ac:dyDescent="0.3">
      <c r="A966" t="s">
        <v>224</v>
      </c>
      <c r="B966" t="s">
        <v>1374</v>
      </c>
      <c r="C966">
        <v>226.78</v>
      </c>
      <c r="D966">
        <v>30.47</v>
      </c>
    </row>
    <row r="967" spans="1:4" x14ac:dyDescent="0.3">
      <c r="A967" t="s">
        <v>489</v>
      </c>
      <c r="B967" t="s">
        <v>490</v>
      </c>
      <c r="C967">
        <v>575.57000000000005</v>
      </c>
      <c r="D967">
        <v>254.89</v>
      </c>
    </row>
    <row r="968" spans="1:4" x14ac:dyDescent="0.3">
      <c r="A968" t="s">
        <v>489</v>
      </c>
      <c r="B968" t="s">
        <v>851</v>
      </c>
      <c r="C968">
        <v>428.75</v>
      </c>
      <c r="D968">
        <v>90.72</v>
      </c>
    </row>
    <row r="969" spans="1:4" x14ac:dyDescent="0.3">
      <c r="A969" t="s">
        <v>489</v>
      </c>
      <c r="B969" t="s">
        <v>1017</v>
      </c>
      <c r="C969">
        <v>145.15</v>
      </c>
      <c r="D969">
        <v>60.91</v>
      </c>
    </row>
    <row r="970" spans="1:4" x14ac:dyDescent="0.3">
      <c r="A970" t="s">
        <v>532</v>
      </c>
      <c r="B970" t="s">
        <v>533</v>
      </c>
      <c r="C970">
        <v>600</v>
      </c>
      <c r="D970">
        <v>218.4</v>
      </c>
    </row>
    <row r="971" spans="1:4" x14ac:dyDescent="0.3">
      <c r="A971" t="s">
        <v>1144</v>
      </c>
      <c r="B971" t="s">
        <v>1145</v>
      </c>
      <c r="C971">
        <v>2647.81</v>
      </c>
      <c r="D971">
        <v>49.13</v>
      </c>
    </row>
    <row r="972" spans="1:4" x14ac:dyDescent="0.3">
      <c r="A972" t="s">
        <v>1396</v>
      </c>
      <c r="B972" t="s">
        <v>1397</v>
      </c>
      <c r="C972">
        <v>62.28</v>
      </c>
      <c r="D972">
        <v>29.27</v>
      </c>
    </row>
    <row r="973" spans="1:4" x14ac:dyDescent="0.3">
      <c r="A973" t="s">
        <v>1881</v>
      </c>
      <c r="B973" t="s">
        <v>1882</v>
      </c>
      <c r="C973">
        <v>97.81</v>
      </c>
      <c r="D973">
        <v>-1.78</v>
      </c>
    </row>
    <row r="974" spans="1:4" x14ac:dyDescent="0.3">
      <c r="A974" t="s">
        <v>1881</v>
      </c>
      <c r="B974" t="s">
        <v>1946</v>
      </c>
      <c r="C974">
        <v>540.79999999999995</v>
      </c>
      <c r="D974">
        <v>-12.29</v>
      </c>
    </row>
    <row r="975" spans="1:4" x14ac:dyDescent="0.3">
      <c r="A975" t="s">
        <v>1252</v>
      </c>
      <c r="B975" t="s">
        <v>1253</v>
      </c>
      <c r="C975">
        <v>87.4</v>
      </c>
      <c r="D975">
        <v>39.82</v>
      </c>
    </row>
    <row r="976" spans="1:4" x14ac:dyDescent="0.3">
      <c r="A976" t="s">
        <v>1252</v>
      </c>
      <c r="B976" t="s">
        <v>1896</v>
      </c>
      <c r="C976">
        <v>55.76</v>
      </c>
      <c r="D976">
        <v>-2.92</v>
      </c>
    </row>
    <row r="977" spans="1:4" x14ac:dyDescent="0.3">
      <c r="A977" t="s">
        <v>1252</v>
      </c>
      <c r="B977" t="s">
        <v>2156</v>
      </c>
      <c r="C977">
        <v>4704.7</v>
      </c>
      <c r="D977">
        <v>-470.47</v>
      </c>
    </row>
    <row r="978" spans="1:4" x14ac:dyDescent="0.3">
      <c r="A978" t="s">
        <v>906</v>
      </c>
      <c r="B978" t="s">
        <v>907</v>
      </c>
      <c r="C978">
        <v>211.01</v>
      </c>
      <c r="D978">
        <v>80.45</v>
      </c>
    </row>
    <row r="979" spans="1:4" x14ac:dyDescent="0.3">
      <c r="A979" t="s">
        <v>906</v>
      </c>
      <c r="B979" t="s">
        <v>1683</v>
      </c>
      <c r="C979">
        <v>27.47</v>
      </c>
      <c r="D979">
        <v>11.29</v>
      </c>
    </row>
    <row r="980" spans="1:4" x14ac:dyDescent="0.3">
      <c r="A980" t="s">
        <v>1003</v>
      </c>
      <c r="B980" t="s">
        <v>1004</v>
      </c>
      <c r="C980">
        <v>1448.84</v>
      </c>
      <c r="D980">
        <v>63.89</v>
      </c>
    </row>
    <row r="981" spans="1:4" x14ac:dyDescent="0.3">
      <c r="A981" t="s">
        <v>1368</v>
      </c>
      <c r="B981" t="s">
        <v>1369</v>
      </c>
      <c r="C981">
        <v>100.92</v>
      </c>
      <c r="D981">
        <v>30.74</v>
      </c>
    </row>
    <row r="982" spans="1:4" x14ac:dyDescent="0.3">
      <c r="A982" t="s">
        <v>471</v>
      </c>
      <c r="B982" t="s">
        <v>472</v>
      </c>
      <c r="C982">
        <v>615.78</v>
      </c>
      <c r="D982">
        <v>273.18</v>
      </c>
    </row>
    <row r="983" spans="1:4" x14ac:dyDescent="0.3">
      <c r="A983" t="s">
        <v>471</v>
      </c>
      <c r="B983" t="s">
        <v>781</v>
      </c>
      <c r="C983">
        <v>246.58</v>
      </c>
      <c r="D983">
        <v>109.02</v>
      </c>
    </row>
    <row r="984" spans="1:4" x14ac:dyDescent="0.3">
      <c r="A984" t="s">
        <v>471</v>
      </c>
      <c r="B984" t="s">
        <v>1789</v>
      </c>
      <c r="C984">
        <v>179.01</v>
      </c>
      <c r="D984">
        <v>5.39</v>
      </c>
    </row>
    <row r="985" spans="1:4" x14ac:dyDescent="0.3">
      <c r="A985" t="s">
        <v>44</v>
      </c>
      <c r="B985" t="s">
        <v>45</v>
      </c>
      <c r="C985">
        <v>7699.89</v>
      </c>
      <c r="D985">
        <v>3772.95</v>
      </c>
    </row>
    <row r="986" spans="1:4" x14ac:dyDescent="0.3">
      <c r="A986" t="s">
        <v>44</v>
      </c>
      <c r="B986" t="s">
        <v>52</v>
      </c>
      <c r="C986">
        <v>6965.7</v>
      </c>
      <c r="D986">
        <v>3343.54</v>
      </c>
    </row>
    <row r="987" spans="1:4" x14ac:dyDescent="0.3">
      <c r="A987" t="s">
        <v>44</v>
      </c>
      <c r="B987" t="s">
        <v>59</v>
      </c>
      <c r="C987">
        <v>8959.8700000000008</v>
      </c>
      <c r="D987">
        <v>2799.96</v>
      </c>
    </row>
    <row r="988" spans="1:4" x14ac:dyDescent="0.3">
      <c r="A988" t="s">
        <v>44</v>
      </c>
      <c r="B988" t="s">
        <v>75</v>
      </c>
      <c r="C988">
        <v>3991.98</v>
      </c>
      <c r="D988">
        <v>1995.99</v>
      </c>
    </row>
    <row r="989" spans="1:4" x14ac:dyDescent="0.3">
      <c r="A989" t="s">
        <v>44</v>
      </c>
      <c r="B989" t="s">
        <v>85</v>
      </c>
      <c r="C989">
        <v>3404.5</v>
      </c>
      <c r="D989">
        <v>1668.2</v>
      </c>
    </row>
    <row r="990" spans="1:4" x14ac:dyDescent="0.3">
      <c r="A990" t="s">
        <v>44</v>
      </c>
      <c r="B990" t="s">
        <v>109</v>
      </c>
      <c r="C990">
        <v>5751.77</v>
      </c>
      <c r="D990">
        <v>1388.61</v>
      </c>
    </row>
    <row r="991" spans="1:4" x14ac:dyDescent="0.3">
      <c r="A991" t="s">
        <v>44</v>
      </c>
      <c r="B991" t="s">
        <v>114</v>
      </c>
      <c r="C991">
        <v>5427.99</v>
      </c>
      <c r="D991">
        <v>1292.1300000000001</v>
      </c>
    </row>
    <row r="992" spans="1:4" x14ac:dyDescent="0.3">
      <c r="A992" t="s">
        <v>44</v>
      </c>
      <c r="B992" t="s">
        <v>136</v>
      </c>
      <c r="C992">
        <v>3059.8</v>
      </c>
      <c r="D992">
        <v>1147.42</v>
      </c>
    </row>
    <row r="993" spans="1:4" x14ac:dyDescent="0.3">
      <c r="A993" t="s">
        <v>44</v>
      </c>
      <c r="B993" t="s">
        <v>166</v>
      </c>
      <c r="C993">
        <v>2339.77</v>
      </c>
      <c r="D993">
        <v>889.91</v>
      </c>
    </row>
    <row r="994" spans="1:4" x14ac:dyDescent="0.3">
      <c r="A994" t="s">
        <v>44</v>
      </c>
      <c r="B994" t="s">
        <v>174</v>
      </c>
      <c r="C994">
        <v>4199.8599999999997</v>
      </c>
      <c r="D994">
        <v>839.97</v>
      </c>
    </row>
    <row r="995" spans="1:4" x14ac:dyDescent="0.3">
      <c r="A995" t="s">
        <v>44</v>
      </c>
      <c r="B995" t="s">
        <v>240</v>
      </c>
      <c r="C995">
        <v>1890</v>
      </c>
      <c r="D995">
        <v>622.79999999999995</v>
      </c>
    </row>
    <row r="996" spans="1:4" x14ac:dyDescent="0.3">
      <c r="A996" t="s">
        <v>44</v>
      </c>
      <c r="B996" t="s">
        <v>245</v>
      </c>
      <c r="C996">
        <v>2279.96</v>
      </c>
      <c r="D996">
        <v>592.79</v>
      </c>
    </row>
    <row r="997" spans="1:4" x14ac:dyDescent="0.3">
      <c r="A997" t="s">
        <v>44</v>
      </c>
      <c r="B997" t="s">
        <v>248</v>
      </c>
      <c r="C997">
        <v>2706.08</v>
      </c>
      <c r="D997">
        <v>578.67999999999995</v>
      </c>
    </row>
    <row r="998" spans="1:4" x14ac:dyDescent="0.3">
      <c r="A998" t="s">
        <v>44</v>
      </c>
      <c r="B998" t="s">
        <v>267</v>
      </c>
      <c r="C998">
        <v>1761.76</v>
      </c>
      <c r="D998">
        <v>549.76</v>
      </c>
    </row>
    <row r="999" spans="1:4" x14ac:dyDescent="0.3">
      <c r="A999" t="s">
        <v>44</v>
      </c>
      <c r="B999" t="s">
        <v>285</v>
      </c>
      <c r="C999">
        <v>1999.75</v>
      </c>
      <c r="D999">
        <v>515.14</v>
      </c>
    </row>
    <row r="1000" spans="1:4" x14ac:dyDescent="0.3">
      <c r="A1000" t="s">
        <v>44</v>
      </c>
      <c r="B1000" t="s">
        <v>308</v>
      </c>
      <c r="C1000">
        <v>1098.5</v>
      </c>
      <c r="D1000">
        <v>492.66</v>
      </c>
    </row>
    <row r="1001" spans="1:4" x14ac:dyDescent="0.3">
      <c r="A1001" t="s">
        <v>44</v>
      </c>
      <c r="B1001" t="s">
        <v>316</v>
      </c>
      <c r="C1001">
        <v>2221.56</v>
      </c>
      <c r="D1001">
        <v>476.63</v>
      </c>
    </row>
    <row r="1002" spans="1:4" x14ac:dyDescent="0.3">
      <c r="A1002" t="s">
        <v>44</v>
      </c>
      <c r="B1002" t="s">
        <v>326</v>
      </c>
      <c r="C1002">
        <v>1291.25</v>
      </c>
      <c r="D1002">
        <v>451.94</v>
      </c>
    </row>
    <row r="1003" spans="1:4" x14ac:dyDescent="0.3">
      <c r="A1003" t="s">
        <v>44</v>
      </c>
      <c r="B1003" t="s">
        <v>348</v>
      </c>
      <c r="C1003">
        <v>2630.13</v>
      </c>
      <c r="D1003">
        <v>418.52</v>
      </c>
    </row>
    <row r="1004" spans="1:4" x14ac:dyDescent="0.3">
      <c r="A1004" t="s">
        <v>44</v>
      </c>
      <c r="B1004" t="s">
        <v>354</v>
      </c>
      <c r="C1004">
        <v>1180.7</v>
      </c>
      <c r="D1004">
        <v>413.25</v>
      </c>
    </row>
    <row r="1005" spans="1:4" x14ac:dyDescent="0.3">
      <c r="A1005" t="s">
        <v>44</v>
      </c>
      <c r="B1005" t="s">
        <v>369</v>
      </c>
      <c r="C1005">
        <v>3415.04</v>
      </c>
      <c r="D1005">
        <v>384.19</v>
      </c>
    </row>
    <row r="1006" spans="1:4" x14ac:dyDescent="0.3">
      <c r="A1006" t="s">
        <v>44</v>
      </c>
      <c r="B1006" t="s">
        <v>374</v>
      </c>
      <c r="C1006">
        <v>2488.39</v>
      </c>
      <c r="D1006">
        <v>380.58</v>
      </c>
    </row>
    <row r="1007" spans="1:4" x14ac:dyDescent="0.3">
      <c r="A1007" t="s">
        <v>44</v>
      </c>
      <c r="B1007" t="s">
        <v>391</v>
      </c>
      <c r="C1007">
        <v>1703.72</v>
      </c>
      <c r="D1007">
        <v>357.54</v>
      </c>
    </row>
    <row r="1008" spans="1:4" x14ac:dyDescent="0.3">
      <c r="A1008" t="s">
        <v>44</v>
      </c>
      <c r="B1008" t="s">
        <v>397</v>
      </c>
      <c r="C1008">
        <v>4185.4799999999996</v>
      </c>
      <c r="D1008">
        <v>342.89</v>
      </c>
    </row>
    <row r="1009" spans="1:4" x14ac:dyDescent="0.3">
      <c r="A1009" t="s">
        <v>44</v>
      </c>
      <c r="B1009" t="s">
        <v>436</v>
      </c>
      <c r="C1009">
        <v>651.44000000000005</v>
      </c>
      <c r="D1009">
        <v>302.73</v>
      </c>
    </row>
    <row r="1010" spans="1:4" x14ac:dyDescent="0.3">
      <c r="A1010" t="s">
        <v>44</v>
      </c>
      <c r="B1010" t="s">
        <v>442</v>
      </c>
      <c r="C1010">
        <v>783.61</v>
      </c>
      <c r="D1010">
        <v>299.85000000000002</v>
      </c>
    </row>
    <row r="1011" spans="1:4" x14ac:dyDescent="0.3">
      <c r="A1011" t="s">
        <v>44</v>
      </c>
      <c r="B1011" t="s">
        <v>445</v>
      </c>
      <c r="C1011">
        <v>1042.08</v>
      </c>
      <c r="D1011">
        <v>291.77999999999997</v>
      </c>
    </row>
    <row r="1012" spans="1:4" x14ac:dyDescent="0.3">
      <c r="A1012" t="s">
        <v>44</v>
      </c>
      <c r="B1012" t="s">
        <v>465</v>
      </c>
      <c r="C1012">
        <v>1193.82</v>
      </c>
      <c r="D1012">
        <v>278.85000000000002</v>
      </c>
    </row>
    <row r="1013" spans="1:4" x14ac:dyDescent="0.3">
      <c r="A1013" t="s">
        <v>44</v>
      </c>
      <c r="B1013" t="s">
        <v>475</v>
      </c>
      <c r="C1013">
        <v>1035.8</v>
      </c>
      <c r="D1013">
        <v>269.31</v>
      </c>
    </row>
    <row r="1014" spans="1:4" x14ac:dyDescent="0.3">
      <c r="A1014" t="s">
        <v>44</v>
      </c>
      <c r="B1014" t="s">
        <v>491</v>
      </c>
      <c r="C1014">
        <v>1501.9</v>
      </c>
      <c r="D1014">
        <v>254.82</v>
      </c>
    </row>
    <row r="1015" spans="1:4" x14ac:dyDescent="0.3">
      <c r="A1015" t="s">
        <v>44</v>
      </c>
      <c r="B1015" t="s">
        <v>493</v>
      </c>
      <c r="C1015">
        <v>1589.41</v>
      </c>
      <c r="D1015">
        <v>253.84</v>
      </c>
    </row>
    <row r="1016" spans="1:4" x14ac:dyDescent="0.3">
      <c r="A1016" t="s">
        <v>44</v>
      </c>
      <c r="B1016" t="s">
        <v>546</v>
      </c>
      <c r="C1016">
        <v>454.36</v>
      </c>
      <c r="D1016">
        <v>207.04</v>
      </c>
    </row>
    <row r="1017" spans="1:4" x14ac:dyDescent="0.3">
      <c r="A1017" t="s">
        <v>44</v>
      </c>
      <c r="B1017" t="s">
        <v>552</v>
      </c>
      <c r="C1017">
        <v>543.46</v>
      </c>
      <c r="D1017">
        <v>204.6</v>
      </c>
    </row>
    <row r="1018" spans="1:4" x14ac:dyDescent="0.3">
      <c r="A1018" t="s">
        <v>44</v>
      </c>
      <c r="B1018" t="s">
        <v>573</v>
      </c>
      <c r="C1018">
        <v>501.88</v>
      </c>
      <c r="D1018">
        <v>195.17</v>
      </c>
    </row>
    <row r="1019" spans="1:4" x14ac:dyDescent="0.3">
      <c r="A1019" t="s">
        <v>44</v>
      </c>
      <c r="B1019" t="s">
        <v>595</v>
      </c>
      <c r="C1019">
        <v>636.61</v>
      </c>
      <c r="D1019">
        <v>179.29</v>
      </c>
    </row>
    <row r="1020" spans="1:4" x14ac:dyDescent="0.3">
      <c r="A1020" t="s">
        <v>44</v>
      </c>
      <c r="B1020" t="s">
        <v>599</v>
      </c>
      <c r="C1020">
        <v>1468.69</v>
      </c>
      <c r="D1020">
        <v>178.15</v>
      </c>
    </row>
    <row r="1021" spans="1:4" x14ac:dyDescent="0.3">
      <c r="A1021" t="s">
        <v>44</v>
      </c>
      <c r="B1021" t="s">
        <v>606</v>
      </c>
      <c r="C1021">
        <v>342.58</v>
      </c>
      <c r="D1021">
        <v>171.29</v>
      </c>
    </row>
    <row r="1022" spans="1:4" x14ac:dyDescent="0.3">
      <c r="A1022" t="s">
        <v>44</v>
      </c>
      <c r="B1022" t="s">
        <v>621</v>
      </c>
      <c r="C1022">
        <v>546.05999999999995</v>
      </c>
      <c r="D1022">
        <v>163.82</v>
      </c>
    </row>
    <row r="1023" spans="1:4" x14ac:dyDescent="0.3">
      <c r="A1023" t="s">
        <v>44</v>
      </c>
      <c r="B1023" t="s">
        <v>630</v>
      </c>
      <c r="C1023">
        <v>467.07</v>
      </c>
      <c r="D1023">
        <v>162.05000000000001</v>
      </c>
    </row>
    <row r="1024" spans="1:4" x14ac:dyDescent="0.3">
      <c r="A1024" t="s">
        <v>44</v>
      </c>
      <c r="B1024" t="s">
        <v>636</v>
      </c>
      <c r="C1024">
        <v>321.44</v>
      </c>
      <c r="D1024">
        <v>157.51</v>
      </c>
    </row>
    <row r="1025" spans="1:4" x14ac:dyDescent="0.3">
      <c r="A1025" t="s">
        <v>44</v>
      </c>
      <c r="B1025" t="s">
        <v>666</v>
      </c>
      <c r="C1025">
        <v>1674.4</v>
      </c>
      <c r="D1025">
        <v>146.51</v>
      </c>
    </row>
    <row r="1026" spans="1:4" x14ac:dyDescent="0.3">
      <c r="A1026" t="s">
        <v>44</v>
      </c>
      <c r="B1026" t="s">
        <v>742</v>
      </c>
      <c r="C1026">
        <v>248.4</v>
      </c>
      <c r="D1026">
        <v>119.23</v>
      </c>
    </row>
    <row r="1027" spans="1:4" x14ac:dyDescent="0.3">
      <c r="A1027" t="s">
        <v>44</v>
      </c>
      <c r="B1027" t="s">
        <v>755</v>
      </c>
      <c r="C1027">
        <v>259.08999999999997</v>
      </c>
      <c r="D1027">
        <v>115.15</v>
      </c>
    </row>
    <row r="1028" spans="1:4" x14ac:dyDescent="0.3">
      <c r="A1028" t="s">
        <v>44</v>
      </c>
      <c r="B1028" t="s">
        <v>756</v>
      </c>
      <c r="C1028">
        <v>264.02</v>
      </c>
      <c r="D1028">
        <v>113.48</v>
      </c>
    </row>
    <row r="1029" spans="1:4" x14ac:dyDescent="0.3">
      <c r="A1029" t="s">
        <v>44</v>
      </c>
      <c r="B1029" t="s">
        <v>759</v>
      </c>
      <c r="C1029">
        <v>262.95999999999998</v>
      </c>
      <c r="D1029">
        <v>113.2</v>
      </c>
    </row>
    <row r="1030" spans="1:4" x14ac:dyDescent="0.3">
      <c r="A1030" t="s">
        <v>44</v>
      </c>
      <c r="B1030" t="s">
        <v>771</v>
      </c>
      <c r="C1030">
        <v>410</v>
      </c>
      <c r="D1030">
        <v>111.29</v>
      </c>
    </row>
    <row r="1031" spans="1:4" x14ac:dyDescent="0.3">
      <c r="A1031" t="s">
        <v>44</v>
      </c>
      <c r="B1031" t="s">
        <v>776</v>
      </c>
      <c r="C1031">
        <v>377.97</v>
      </c>
      <c r="D1031">
        <v>109.61</v>
      </c>
    </row>
    <row r="1032" spans="1:4" x14ac:dyDescent="0.3">
      <c r="A1032" t="s">
        <v>44</v>
      </c>
      <c r="B1032" t="s">
        <v>790</v>
      </c>
      <c r="C1032">
        <v>451.96</v>
      </c>
      <c r="D1032">
        <v>106.34</v>
      </c>
    </row>
    <row r="1033" spans="1:4" x14ac:dyDescent="0.3">
      <c r="A1033" t="s">
        <v>44</v>
      </c>
      <c r="B1033" t="s">
        <v>797</v>
      </c>
      <c r="C1033">
        <v>227.04</v>
      </c>
      <c r="D1033">
        <v>104.44</v>
      </c>
    </row>
    <row r="1034" spans="1:4" x14ac:dyDescent="0.3">
      <c r="A1034" t="s">
        <v>44</v>
      </c>
      <c r="B1034" t="s">
        <v>799</v>
      </c>
      <c r="C1034">
        <v>285.87</v>
      </c>
      <c r="D1034">
        <v>102.91</v>
      </c>
    </row>
    <row r="1035" spans="1:4" x14ac:dyDescent="0.3">
      <c r="A1035" t="s">
        <v>44</v>
      </c>
      <c r="B1035" t="s">
        <v>828</v>
      </c>
      <c r="C1035">
        <v>357.95</v>
      </c>
      <c r="D1035">
        <v>94.77</v>
      </c>
    </row>
    <row r="1036" spans="1:4" x14ac:dyDescent="0.3">
      <c r="A1036" t="s">
        <v>44</v>
      </c>
      <c r="B1036" t="s">
        <v>829</v>
      </c>
      <c r="C1036">
        <v>1771.51</v>
      </c>
      <c r="D1036">
        <v>94.76</v>
      </c>
    </row>
    <row r="1037" spans="1:4" x14ac:dyDescent="0.3">
      <c r="A1037" t="s">
        <v>44</v>
      </c>
      <c r="B1037" t="s">
        <v>834</v>
      </c>
      <c r="C1037">
        <v>231.86</v>
      </c>
      <c r="D1037">
        <v>94.36</v>
      </c>
    </row>
    <row r="1038" spans="1:4" x14ac:dyDescent="0.3">
      <c r="A1038" t="s">
        <v>44</v>
      </c>
      <c r="B1038" t="s">
        <v>844</v>
      </c>
      <c r="C1038">
        <v>191.6</v>
      </c>
      <c r="D1038">
        <v>91.97</v>
      </c>
    </row>
    <row r="1039" spans="1:4" x14ac:dyDescent="0.3">
      <c r="A1039" t="s">
        <v>44</v>
      </c>
      <c r="B1039" t="s">
        <v>858</v>
      </c>
      <c r="C1039">
        <v>11046.61</v>
      </c>
      <c r="D1039">
        <v>90.18</v>
      </c>
    </row>
    <row r="1040" spans="1:4" x14ac:dyDescent="0.3">
      <c r="A1040" t="s">
        <v>44</v>
      </c>
      <c r="B1040" t="s">
        <v>914</v>
      </c>
      <c r="C1040">
        <v>168.84</v>
      </c>
      <c r="D1040">
        <v>78.260000000000005</v>
      </c>
    </row>
    <row r="1041" spans="1:4" x14ac:dyDescent="0.3">
      <c r="A1041" t="s">
        <v>44</v>
      </c>
      <c r="B1041" t="s">
        <v>918</v>
      </c>
      <c r="C1041">
        <v>209.57</v>
      </c>
      <c r="D1041">
        <v>77.88</v>
      </c>
    </row>
    <row r="1042" spans="1:4" x14ac:dyDescent="0.3">
      <c r="A1042" t="s">
        <v>44</v>
      </c>
      <c r="B1042" t="s">
        <v>929</v>
      </c>
      <c r="C1042">
        <v>155.04</v>
      </c>
      <c r="D1042">
        <v>75.97</v>
      </c>
    </row>
    <row r="1043" spans="1:4" x14ac:dyDescent="0.3">
      <c r="A1043" t="s">
        <v>44</v>
      </c>
      <c r="B1043" t="s">
        <v>934</v>
      </c>
      <c r="C1043">
        <v>168.13</v>
      </c>
      <c r="D1043">
        <v>75.150000000000006</v>
      </c>
    </row>
    <row r="1044" spans="1:4" x14ac:dyDescent="0.3">
      <c r="A1044" t="s">
        <v>44</v>
      </c>
      <c r="B1044" t="s">
        <v>950</v>
      </c>
      <c r="C1044">
        <v>306.89999999999998</v>
      </c>
      <c r="D1044">
        <v>72.22</v>
      </c>
    </row>
    <row r="1045" spans="1:4" x14ac:dyDescent="0.3">
      <c r="A1045" t="s">
        <v>44</v>
      </c>
      <c r="B1045" t="s">
        <v>963</v>
      </c>
      <c r="C1045">
        <v>444.6</v>
      </c>
      <c r="D1045">
        <v>69.989999999999995</v>
      </c>
    </row>
    <row r="1046" spans="1:4" x14ac:dyDescent="0.3">
      <c r="A1046" t="s">
        <v>44</v>
      </c>
      <c r="B1046" t="s">
        <v>980</v>
      </c>
      <c r="C1046">
        <v>149.85</v>
      </c>
      <c r="D1046">
        <v>67.430000000000007</v>
      </c>
    </row>
    <row r="1047" spans="1:4" x14ac:dyDescent="0.3">
      <c r="A1047" t="s">
        <v>44</v>
      </c>
      <c r="B1047" t="s">
        <v>991</v>
      </c>
      <c r="C1047">
        <v>151.54</v>
      </c>
      <c r="D1047">
        <v>65.44</v>
      </c>
    </row>
    <row r="1048" spans="1:4" x14ac:dyDescent="0.3">
      <c r="A1048" t="s">
        <v>44</v>
      </c>
      <c r="B1048" t="s">
        <v>1011</v>
      </c>
      <c r="C1048">
        <v>207.9</v>
      </c>
      <c r="D1048">
        <v>62.77</v>
      </c>
    </row>
    <row r="1049" spans="1:4" x14ac:dyDescent="0.3">
      <c r="A1049" t="s">
        <v>44</v>
      </c>
      <c r="B1049" t="s">
        <v>1015</v>
      </c>
      <c r="C1049">
        <v>156.80000000000001</v>
      </c>
      <c r="D1049">
        <v>61.15</v>
      </c>
    </row>
    <row r="1050" spans="1:4" x14ac:dyDescent="0.3">
      <c r="A1050" t="s">
        <v>44</v>
      </c>
      <c r="B1050" t="s">
        <v>1025</v>
      </c>
      <c r="C1050">
        <v>131.1</v>
      </c>
      <c r="D1050">
        <v>60.31</v>
      </c>
    </row>
    <row r="1051" spans="1:4" x14ac:dyDescent="0.3">
      <c r="A1051" t="s">
        <v>44</v>
      </c>
      <c r="B1051" t="s">
        <v>1032</v>
      </c>
      <c r="C1051">
        <v>259.68</v>
      </c>
      <c r="D1051">
        <v>59.51</v>
      </c>
    </row>
    <row r="1052" spans="1:4" x14ac:dyDescent="0.3">
      <c r="A1052" t="s">
        <v>44</v>
      </c>
      <c r="B1052" t="s">
        <v>1047</v>
      </c>
      <c r="C1052">
        <v>324</v>
      </c>
      <c r="D1052">
        <v>58.32</v>
      </c>
    </row>
    <row r="1053" spans="1:4" x14ac:dyDescent="0.3">
      <c r="A1053" t="s">
        <v>44</v>
      </c>
      <c r="B1053" t="s">
        <v>1056</v>
      </c>
      <c r="C1053">
        <v>141.26</v>
      </c>
      <c r="D1053">
        <v>57.02</v>
      </c>
    </row>
    <row r="1054" spans="1:4" x14ac:dyDescent="0.3">
      <c r="A1054" t="s">
        <v>44</v>
      </c>
      <c r="B1054" t="s">
        <v>1060</v>
      </c>
      <c r="C1054">
        <v>407.01</v>
      </c>
      <c r="D1054">
        <v>56.23</v>
      </c>
    </row>
    <row r="1055" spans="1:4" x14ac:dyDescent="0.3">
      <c r="A1055" t="s">
        <v>44</v>
      </c>
      <c r="B1055" t="s">
        <v>1061</v>
      </c>
      <c r="C1055">
        <v>124.8</v>
      </c>
      <c r="D1055">
        <v>56.16</v>
      </c>
    </row>
    <row r="1056" spans="1:4" x14ac:dyDescent="0.3">
      <c r="A1056" t="s">
        <v>44</v>
      </c>
      <c r="B1056" t="s">
        <v>1077</v>
      </c>
      <c r="C1056">
        <v>196.25</v>
      </c>
      <c r="D1056">
        <v>55.1</v>
      </c>
    </row>
    <row r="1057" spans="1:4" x14ac:dyDescent="0.3">
      <c r="A1057" t="s">
        <v>44</v>
      </c>
      <c r="B1057" t="s">
        <v>1086</v>
      </c>
      <c r="C1057">
        <v>116.96</v>
      </c>
      <c r="D1057">
        <v>53.8</v>
      </c>
    </row>
    <row r="1058" spans="1:4" x14ac:dyDescent="0.3">
      <c r="A1058" t="s">
        <v>44</v>
      </c>
      <c r="B1058" t="s">
        <v>1102</v>
      </c>
      <c r="C1058">
        <v>310.20999999999998</v>
      </c>
      <c r="D1058">
        <v>52.45</v>
      </c>
    </row>
    <row r="1059" spans="1:4" x14ac:dyDescent="0.3">
      <c r="A1059" t="s">
        <v>44</v>
      </c>
      <c r="B1059" t="s">
        <v>1106</v>
      </c>
      <c r="C1059">
        <v>127.87</v>
      </c>
      <c r="D1059">
        <v>52.35</v>
      </c>
    </row>
    <row r="1060" spans="1:4" x14ac:dyDescent="0.3">
      <c r="A1060" t="s">
        <v>44</v>
      </c>
      <c r="B1060" t="s">
        <v>1111</v>
      </c>
      <c r="C1060">
        <v>119.21</v>
      </c>
      <c r="D1060">
        <v>52.01</v>
      </c>
    </row>
    <row r="1061" spans="1:4" x14ac:dyDescent="0.3">
      <c r="A1061" t="s">
        <v>44</v>
      </c>
      <c r="B1061" t="s">
        <v>1133</v>
      </c>
      <c r="C1061">
        <v>191.98</v>
      </c>
      <c r="D1061">
        <v>50.23</v>
      </c>
    </row>
    <row r="1062" spans="1:4" x14ac:dyDescent="0.3">
      <c r="A1062" t="s">
        <v>44</v>
      </c>
      <c r="B1062" t="s">
        <v>1141</v>
      </c>
      <c r="C1062">
        <v>106.29</v>
      </c>
      <c r="D1062">
        <v>49.5</v>
      </c>
    </row>
    <row r="1063" spans="1:4" x14ac:dyDescent="0.3">
      <c r="A1063" t="s">
        <v>44</v>
      </c>
      <c r="B1063" t="s">
        <v>1169</v>
      </c>
      <c r="C1063">
        <v>106.72</v>
      </c>
      <c r="D1063">
        <v>47.19</v>
      </c>
    </row>
    <row r="1064" spans="1:4" x14ac:dyDescent="0.3">
      <c r="A1064" t="s">
        <v>44</v>
      </c>
      <c r="B1064" t="s">
        <v>1181</v>
      </c>
      <c r="C1064">
        <v>234.46</v>
      </c>
      <c r="D1064">
        <v>45.87</v>
      </c>
    </row>
    <row r="1065" spans="1:4" x14ac:dyDescent="0.3">
      <c r="A1065" t="s">
        <v>44</v>
      </c>
      <c r="B1065" t="s">
        <v>1187</v>
      </c>
      <c r="C1065">
        <v>229.98</v>
      </c>
      <c r="D1065">
        <v>44.81</v>
      </c>
    </row>
    <row r="1066" spans="1:4" x14ac:dyDescent="0.3">
      <c r="A1066" t="s">
        <v>44</v>
      </c>
      <c r="B1066" t="s">
        <v>1228</v>
      </c>
      <c r="C1066">
        <v>124.59</v>
      </c>
      <c r="D1066">
        <v>42.05</v>
      </c>
    </row>
    <row r="1067" spans="1:4" x14ac:dyDescent="0.3">
      <c r="A1067" t="s">
        <v>44</v>
      </c>
      <c r="B1067" t="s">
        <v>1229</v>
      </c>
      <c r="C1067">
        <v>150.66999999999999</v>
      </c>
      <c r="D1067">
        <v>41.96</v>
      </c>
    </row>
    <row r="1068" spans="1:4" x14ac:dyDescent="0.3">
      <c r="A1068" t="s">
        <v>44</v>
      </c>
      <c r="B1068" t="s">
        <v>1244</v>
      </c>
      <c r="C1068">
        <v>89.7</v>
      </c>
      <c r="D1068">
        <v>40.9</v>
      </c>
    </row>
    <row r="1069" spans="1:4" x14ac:dyDescent="0.3">
      <c r="A1069" t="s">
        <v>44</v>
      </c>
      <c r="B1069" t="s">
        <v>1258</v>
      </c>
      <c r="C1069">
        <v>90.72</v>
      </c>
      <c r="D1069">
        <v>39.69</v>
      </c>
    </row>
    <row r="1070" spans="1:4" x14ac:dyDescent="0.3">
      <c r="A1070" t="s">
        <v>44</v>
      </c>
      <c r="B1070" t="s">
        <v>1260</v>
      </c>
      <c r="C1070">
        <v>179.76</v>
      </c>
      <c r="D1070">
        <v>39.549999999999997</v>
      </c>
    </row>
    <row r="1071" spans="1:4" x14ac:dyDescent="0.3">
      <c r="A1071" t="s">
        <v>44</v>
      </c>
      <c r="B1071" t="s">
        <v>1263</v>
      </c>
      <c r="C1071">
        <v>704.69</v>
      </c>
      <c r="D1071">
        <v>39.369999999999997</v>
      </c>
    </row>
    <row r="1072" spans="1:4" x14ac:dyDescent="0.3">
      <c r="A1072" t="s">
        <v>44</v>
      </c>
      <c r="B1072" t="s">
        <v>1269</v>
      </c>
      <c r="C1072">
        <v>100.46</v>
      </c>
      <c r="D1072">
        <v>38.729999999999997</v>
      </c>
    </row>
    <row r="1073" spans="1:4" x14ac:dyDescent="0.3">
      <c r="A1073" t="s">
        <v>44</v>
      </c>
      <c r="B1073" t="s">
        <v>1327</v>
      </c>
      <c r="C1073">
        <v>123.81</v>
      </c>
      <c r="D1073">
        <v>34.11</v>
      </c>
    </row>
    <row r="1074" spans="1:4" x14ac:dyDescent="0.3">
      <c r="A1074" t="s">
        <v>44</v>
      </c>
      <c r="B1074" t="s">
        <v>1330</v>
      </c>
      <c r="C1074">
        <v>145.91</v>
      </c>
      <c r="D1074">
        <v>33.79</v>
      </c>
    </row>
    <row r="1075" spans="1:4" x14ac:dyDescent="0.3">
      <c r="A1075" t="s">
        <v>44</v>
      </c>
      <c r="B1075" t="s">
        <v>1345</v>
      </c>
      <c r="C1075">
        <v>76.459999999999994</v>
      </c>
      <c r="D1075">
        <v>32.659999999999997</v>
      </c>
    </row>
    <row r="1076" spans="1:4" x14ac:dyDescent="0.3">
      <c r="A1076" t="s">
        <v>44</v>
      </c>
      <c r="B1076" t="s">
        <v>1380</v>
      </c>
      <c r="C1076">
        <v>457.97</v>
      </c>
      <c r="D1076">
        <v>30.04</v>
      </c>
    </row>
    <row r="1077" spans="1:4" x14ac:dyDescent="0.3">
      <c r="A1077" t="s">
        <v>44</v>
      </c>
      <c r="B1077" t="s">
        <v>1402</v>
      </c>
      <c r="C1077">
        <v>75.36</v>
      </c>
      <c r="D1077">
        <v>28.64</v>
      </c>
    </row>
    <row r="1078" spans="1:4" x14ac:dyDescent="0.3">
      <c r="A1078" t="s">
        <v>44</v>
      </c>
      <c r="B1078" t="s">
        <v>1410</v>
      </c>
      <c r="C1078">
        <v>88.16</v>
      </c>
      <c r="D1078">
        <v>27.97</v>
      </c>
    </row>
    <row r="1079" spans="1:4" x14ac:dyDescent="0.3">
      <c r="A1079" t="s">
        <v>44</v>
      </c>
      <c r="B1079" t="s">
        <v>1428</v>
      </c>
      <c r="C1079">
        <v>90.88</v>
      </c>
      <c r="D1079">
        <v>26.36</v>
      </c>
    </row>
    <row r="1080" spans="1:4" x14ac:dyDescent="0.3">
      <c r="A1080" t="s">
        <v>44</v>
      </c>
      <c r="B1080" t="s">
        <v>1545</v>
      </c>
      <c r="C1080">
        <v>81.650000000000006</v>
      </c>
      <c r="D1080">
        <v>19.43</v>
      </c>
    </row>
    <row r="1081" spans="1:4" x14ac:dyDescent="0.3">
      <c r="A1081" t="s">
        <v>44</v>
      </c>
      <c r="B1081" t="s">
        <v>1566</v>
      </c>
      <c r="C1081">
        <v>104.5</v>
      </c>
      <c r="D1081">
        <v>17.88</v>
      </c>
    </row>
    <row r="1082" spans="1:4" x14ac:dyDescent="0.3">
      <c r="A1082" t="s">
        <v>44</v>
      </c>
      <c r="B1082" t="s">
        <v>1569</v>
      </c>
      <c r="C1082">
        <v>67.83</v>
      </c>
      <c r="D1082">
        <v>17.64</v>
      </c>
    </row>
    <row r="1083" spans="1:4" x14ac:dyDescent="0.3">
      <c r="A1083" t="s">
        <v>44</v>
      </c>
      <c r="B1083" t="s">
        <v>1583</v>
      </c>
      <c r="C1083">
        <v>91.74</v>
      </c>
      <c r="D1083">
        <v>16.73</v>
      </c>
    </row>
    <row r="1084" spans="1:4" x14ac:dyDescent="0.3">
      <c r="A1084" t="s">
        <v>44</v>
      </c>
      <c r="B1084" t="s">
        <v>1587</v>
      </c>
      <c r="C1084">
        <v>34.86</v>
      </c>
      <c r="D1084">
        <v>16.38</v>
      </c>
    </row>
    <row r="1085" spans="1:4" x14ac:dyDescent="0.3">
      <c r="A1085" t="s">
        <v>44</v>
      </c>
      <c r="B1085" t="s">
        <v>1588</v>
      </c>
      <c r="C1085">
        <v>40.9</v>
      </c>
      <c r="D1085">
        <v>16.36</v>
      </c>
    </row>
    <row r="1086" spans="1:4" x14ac:dyDescent="0.3">
      <c r="A1086" t="s">
        <v>44</v>
      </c>
      <c r="B1086" t="s">
        <v>1593</v>
      </c>
      <c r="C1086">
        <v>202.68</v>
      </c>
      <c r="D1086">
        <v>16.21</v>
      </c>
    </row>
    <row r="1087" spans="1:4" x14ac:dyDescent="0.3">
      <c r="A1087" t="s">
        <v>44</v>
      </c>
      <c r="B1087" t="s">
        <v>1607</v>
      </c>
      <c r="C1087">
        <v>34.24</v>
      </c>
      <c r="D1087">
        <v>15.41</v>
      </c>
    </row>
    <row r="1088" spans="1:4" x14ac:dyDescent="0.3">
      <c r="A1088" t="s">
        <v>44</v>
      </c>
      <c r="B1088" t="s">
        <v>1641</v>
      </c>
      <c r="C1088">
        <v>29.88</v>
      </c>
      <c r="D1088">
        <v>14.04</v>
      </c>
    </row>
    <row r="1089" spans="1:4" x14ac:dyDescent="0.3">
      <c r="A1089" t="s">
        <v>44</v>
      </c>
      <c r="B1089" t="s">
        <v>1651</v>
      </c>
      <c r="C1089">
        <v>30.8</v>
      </c>
      <c r="D1089">
        <v>13.55</v>
      </c>
    </row>
    <row r="1090" spans="1:4" x14ac:dyDescent="0.3">
      <c r="A1090" t="s">
        <v>44</v>
      </c>
      <c r="B1090" t="s">
        <v>1666</v>
      </c>
      <c r="C1090">
        <v>40.32</v>
      </c>
      <c r="D1090">
        <v>12.6</v>
      </c>
    </row>
    <row r="1091" spans="1:4" x14ac:dyDescent="0.3">
      <c r="A1091" t="s">
        <v>44</v>
      </c>
      <c r="B1091" t="s">
        <v>1672</v>
      </c>
      <c r="C1091">
        <v>967.84</v>
      </c>
      <c r="D1091">
        <v>12.1</v>
      </c>
    </row>
    <row r="1092" spans="1:4" x14ac:dyDescent="0.3">
      <c r="A1092" t="s">
        <v>44</v>
      </c>
      <c r="B1092" t="s">
        <v>1681</v>
      </c>
      <c r="C1092">
        <v>43.7</v>
      </c>
      <c r="D1092">
        <v>11.36</v>
      </c>
    </row>
    <row r="1093" spans="1:4" x14ac:dyDescent="0.3">
      <c r="A1093" t="s">
        <v>44</v>
      </c>
      <c r="B1093" t="s">
        <v>1682</v>
      </c>
      <c r="C1093">
        <v>51.6</v>
      </c>
      <c r="D1093">
        <v>11.3</v>
      </c>
    </row>
    <row r="1094" spans="1:4" x14ac:dyDescent="0.3">
      <c r="A1094" t="s">
        <v>44</v>
      </c>
      <c r="B1094" t="s">
        <v>1696</v>
      </c>
      <c r="C1094">
        <v>83.16</v>
      </c>
      <c r="D1094">
        <v>10.15</v>
      </c>
    </row>
    <row r="1095" spans="1:4" x14ac:dyDescent="0.3">
      <c r="A1095" t="s">
        <v>44</v>
      </c>
      <c r="B1095" t="s">
        <v>1702</v>
      </c>
      <c r="C1095">
        <v>29.95</v>
      </c>
      <c r="D1095">
        <v>9.8000000000000007</v>
      </c>
    </row>
    <row r="1096" spans="1:4" x14ac:dyDescent="0.3">
      <c r="A1096" t="s">
        <v>44</v>
      </c>
      <c r="B1096" t="s">
        <v>1705</v>
      </c>
      <c r="C1096">
        <v>26.08</v>
      </c>
      <c r="D1096">
        <v>9.65</v>
      </c>
    </row>
    <row r="1097" spans="1:4" x14ac:dyDescent="0.3">
      <c r="A1097" t="s">
        <v>44</v>
      </c>
      <c r="B1097" t="s">
        <v>1706</v>
      </c>
      <c r="C1097">
        <v>22.4</v>
      </c>
      <c r="D1097">
        <v>9.6300000000000008</v>
      </c>
    </row>
    <row r="1098" spans="1:4" x14ac:dyDescent="0.3">
      <c r="A1098" t="s">
        <v>44</v>
      </c>
      <c r="B1098" t="s">
        <v>1738</v>
      </c>
      <c r="C1098">
        <v>29.4</v>
      </c>
      <c r="D1098">
        <v>8.23</v>
      </c>
    </row>
    <row r="1099" spans="1:4" x14ac:dyDescent="0.3">
      <c r="A1099" t="s">
        <v>44</v>
      </c>
      <c r="B1099" t="s">
        <v>1755</v>
      </c>
      <c r="C1099">
        <v>14.73</v>
      </c>
      <c r="D1099">
        <v>7.22</v>
      </c>
    </row>
    <row r="1100" spans="1:4" x14ac:dyDescent="0.3">
      <c r="A1100" t="s">
        <v>44</v>
      </c>
      <c r="B1100" t="s">
        <v>1777</v>
      </c>
      <c r="C1100">
        <v>208.18</v>
      </c>
      <c r="D1100">
        <v>5.95</v>
      </c>
    </row>
    <row r="1101" spans="1:4" x14ac:dyDescent="0.3">
      <c r="A1101" t="s">
        <v>44</v>
      </c>
      <c r="B1101" t="s">
        <v>1778</v>
      </c>
      <c r="C1101">
        <v>24.55</v>
      </c>
      <c r="D1101">
        <v>5.84</v>
      </c>
    </row>
    <row r="1102" spans="1:4" x14ac:dyDescent="0.3">
      <c r="A1102" t="s">
        <v>44</v>
      </c>
      <c r="B1102" t="s">
        <v>1806</v>
      </c>
      <c r="C1102">
        <v>136.72999999999999</v>
      </c>
      <c r="D1102">
        <v>4.37</v>
      </c>
    </row>
    <row r="1103" spans="1:4" x14ac:dyDescent="0.3">
      <c r="A1103" t="s">
        <v>44</v>
      </c>
      <c r="B1103" t="s">
        <v>1817</v>
      </c>
      <c r="C1103">
        <v>51.18</v>
      </c>
      <c r="D1103">
        <v>3.66</v>
      </c>
    </row>
    <row r="1104" spans="1:4" x14ac:dyDescent="0.3">
      <c r="A1104" t="s">
        <v>44</v>
      </c>
      <c r="B1104" t="s">
        <v>1839</v>
      </c>
      <c r="C1104">
        <v>239.97</v>
      </c>
      <c r="D1104">
        <v>2.4</v>
      </c>
    </row>
    <row r="1105" spans="1:4" x14ac:dyDescent="0.3">
      <c r="A1105" t="s">
        <v>44</v>
      </c>
      <c r="B1105" t="s">
        <v>1843</v>
      </c>
      <c r="C1105">
        <v>13.86</v>
      </c>
      <c r="D1105">
        <v>2.2999999999999998</v>
      </c>
    </row>
    <row r="1106" spans="1:4" x14ac:dyDescent="0.3">
      <c r="A1106" t="s">
        <v>44</v>
      </c>
      <c r="B1106" t="s">
        <v>1848</v>
      </c>
      <c r="C1106">
        <v>32.65</v>
      </c>
      <c r="D1106">
        <v>1.78</v>
      </c>
    </row>
    <row r="1107" spans="1:4" x14ac:dyDescent="0.3">
      <c r="A1107" t="s">
        <v>44</v>
      </c>
      <c r="B1107" t="s">
        <v>1849</v>
      </c>
      <c r="C1107">
        <v>50.57</v>
      </c>
      <c r="D1107">
        <v>1.63</v>
      </c>
    </row>
    <row r="1108" spans="1:4" x14ac:dyDescent="0.3">
      <c r="A1108" t="s">
        <v>44</v>
      </c>
      <c r="B1108" t="s">
        <v>1850</v>
      </c>
      <c r="C1108">
        <v>61.82</v>
      </c>
      <c r="D1108">
        <v>1.34</v>
      </c>
    </row>
    <row r="1109" spans="1:4" x14ac:dyDescent="0.3">
      <c r="A1109" t="s">
        <v>44</v>
      </c>
      <c r="B1109" t="s">
        <v>1852</v>
      </c>
      <c r="C1109">
        <v>75.099999999999994</v>
      </c>
      <c r="D1109">
        <v>1.2</v>
      </c>
    </row>
    <row r="1110" spans="1:4" x14ac:dyDescent="0.3">
      <c r="A1110" t="s">
        <v>44</v>
      </c>
      <c r="B1110" t="s">
        <v>1861</v>
      </c>
      <c r="C1110">
        <v>10.08</v>
      </c>
      <c r="D1110">
        <v>0.3</v>
      </c>
    </row>
    <row r="1111" spans="1:4" x14ac:dyDescent="0.3">
      <c r="A1111" t="s">
        <v>44</v>
      </c>
      <c r="B1111" t="s">
        <v>1865</v>
      </c>
      <c r="C1111">
        <v>2389.9</v>
      </c>
      <c r="D1111">
        <v>0</v>
      </c>
    </row>
    <row r="1112" spans="1:4" x14ac:dyDescent="0.3">
      <c r="A1112" t="s">
        <v>44</v>
      </c>
      <c r="B1112" t="s">
        <v>1866</v>
      </c>
      <c r="C1112">
        <v>248.36</v>
      </c>
      <c r="D1112">
        <v>0</v>
      </c>
    </row>
    <row r="1113" spans="1:4" x14ac:dyDescent="0.3">
      <c r="A1113" t="s">
        <v>44</v>
      </c>
      <c r="B1113" t="s">
        <v>1918</v>
      </c>
      <c r="C1113">
        <v>618.48</v>
      </c>
      <c r="D1113">
        <v>-6.44</v>
      </c>
    </row>
    <row r="1114" spans="1:4" x14ac:dyDescent="0.3">
      <c r="A1114" t="s">
        <v>44</v>
      </c>
      <c r="B1114" t="s">
        <v>1941</v>
      </c>
      <c r="C1114">
        <v>102.62</v>
      </c>
      <c r="D1114">
        <v>-11.88</v>
      </c>
    </row>
    <row r="1115" spans="1:4" x14ac:dyDescent="0.3">
      <c r="A1115" t="s">
        <v>44</v>
      </c>
      <c r="B1115" t="s">
        <v>1944</v>
      </c>
      <c r="C1115">
        <v>1229.75</v>
      </c>
      <c r="D1115">
        <v>-12</v>
      </c>
    </row>
    <row r="1116" spans="1:4" x14ac:dyDescent="0.3">
      <c r="A1116" t="s">
        <v>44</v>
      </c>
      <c r="B1116" t="s">
        <v>1964</v>
      </c>
      <c r="C1116">
        <v>51.78</v>
      </c>
      <c r="D1116">
        <v>-17.510000000000002</v>
      </c>
    </row>
    <row r="1117" spans="1:4" x14ac:dyDescent="0.3">
      <c r="A1117" t="s">
        <v>44</v>
      </c>
      <c r="B1117" t="s">
        <v>1981</v>
      </c>
      <c r="C1117">
        <v>1619.82</v>
      </c>
      <c r="D1117">
        <v>-22.5</v>
      </c>
    </row>
    <row r="1118" spans="1:4" x14ac:dyDescent="0.3">
      <c r="A1118" t="s">
        <v>44</v>
      </c>
      <c r="B1118" t="s">
        <v>1995</v>
      </c>
      <c r="C1118">
        <v>1341.52</v>
      </c>
      <c r="D1118">
        <v>-32.65</v>
      </c>
    </row>
    <row r="1119" spans="1:4" x14ac:dyDescent="0.3">
      <c r="A1119" t="s">
        <v>44</v>
      </c>
      <c r="B1119" t="s">
        <v>1999</v>
      </c>
      <c r="C1119">
        <v>147.53</v>
      </c>
      <c r="D1119">
        <v>-36.880000000000003</v>
      </c>
    </row>
    <row r="1120" spans="1:4" x14ac:dyDescent="0.3">
      <c r="A1120" t="s">
        <v>44</v>
      </c>
      <c r="B1120" t="s">
        <v>2016</v>
      </c>
      <c r="C1120">
        <v>379.4</v>
      </c>
      <c r="D1120">
        <v>-48.78</v>
      </c>
    </row>
    <row r="1121" spans="1:4" x14ac:dyDescent="0.3">
      <c r="A1121" t="s">
        <v>44</v>
      </c>
      <c r="B1121" t="s">
        <v>2043</v>
      </c>
      <c r="C1121">
        <v>1909.82</v>
      </c>
      <c r="D1121">
        <v>-78.19</v>
      </c>
    </row>
    <row r="1122" spans="1:4" x14ac:dyDescent="0.3">
      <c r="A1122" t="s">
        <v>44</v>
      </c>
      <c r="B1122" t="s">
        <v>2080</v>
      </c>
      <c r="C1122">
        <v>653.12</v>
      </c>
      <c r="D1122">
        <v>-148.4</v>
      </c>
    </row>
    <row r="1123" spans="1:4" x14ac:dyDescent="0.3">
      <c r="A1123" t="s">
        <v>44</v>
      </c>
      <c r="B1123" t="s">
        <v>2092</v>
      </c>
      <c r="C1123">
        <v>1296.03</v>
      </c>
      <c r="D1123">
        <v>-177.35</v>
      </c>
    </row>
    <row r="1124" spans="1:4" x14ac:dyDescent="0.3">
      <c r="A1124" t="s">
        <v>44</v>
      </c>
      <c r="B1124" t="s">
        <v>2133</v>
      </c>
      <c r="C1124">
        <v>13565.57</v>
      </c>
      <c r="D1124">
        <v>-359.35</v>
      </c>
    </row>
    <row r="1125" spans="1:4" x14ac:dyDescent="0.3">
      <c r="A1125" t="s">
        <v>44</v>
      </c>
      <c r="B1125" t="s">
        <v>2159</v>
      </c>
      <c r="C1125">
        <v>3680.54</v>
      </c>
      <c r="D1125">
        <v>-491.18</v>
      </c>
    </row>
    <row r="1126" spans="1:4" x14ac:dyDescent="0.3">
      <c r="A1126" t="s">
        <v>44</v>
      </c>
      <c r="B1126" t="s">
        <v>2173</v>
      </c>
      <c r="C1126">
        <v>3420.77</v>
      </c>
      <c r="D1126">
        <v>-755.75</v>
      </c>
    </row>
    <row r="1127" spans="1:4" x14ac:dyDescent="0.3">
      <c r="A1127" t="s">
        <v>44</v>
      </c>
      <c r="B1127" t="s">
        <v>2177</v>
      </c>
      <c r="C1127">
        <v>9158.2999999999993</v>
      </c>
      <c r="D1127">
        <v>-825.75</v>
      </c>
    </row>
    <row r="1128" spans="1:4" x14ac:dyDescent="0.3">
      <c r="A1128" t="s">
        <v>44</v>
      </c>
      <c r="B1128" t="s">
        <v>2187</v>
      </c>
      <c r="C1128">
        <v>6518.75</v>
      </c>
      <c r="D1128">
        <v>-1201.06</v>
      </c>
    </row>
    <row r="1129" spans="1:4" x14ac:dyDescent="0.3">
      <c r="A1129" t="s">
        <v>233</v>
      </c>
      <c r="B1129" t="s">
        <v>234</v>
      </c>
      <c r="C1129">
        <v>1574.03</v>
      </c>
      <c r="D1129">
        <v>634.41</v>
      </c>
    </row>
    <row r="1130" spans="1:4" x14ac:dyDescent="0.3">
      <c r="A1130" t="s">
        <v>233</v>
      </c>
      <c r="B1130" t="s">
        <v>355</v>
      </c>
      <c r="C1130">
        <v>1803.11</v>
      </c>
      <c r="D1130">
        <v>411.58</v>
      </c>
    </row>
    <row r="1131" spans="1:4" x14ac:dyDescent="0.3">
      <c r="A1131" t="s">
        <v>233</v>
      </c>
      <c r="B1131" t="s">
        <v>470</v>
      </c>
      <c r="C1131">
        <v>1685.29</v>
      </c>
      <c r="D1131">
        <v>273.45999999999998</v>
      </c>
    </row>
    <row r="1132" spans="1:4" x14ac:dyDescent="0.3">
      <c r="A1132" t="s">
        <v>233</v>
      </c>
      <c r="B1132" t="s">
        <v>602</v>
      </c>
      <c r="C1132">
        <v>631.67999999999995</v>
      </c>
      <c r="D1132">
        <v>176.87</v>
      </c>
    </row>
    <row r="1133" spans="1:4" x14ac:dyDescent="0.3">
      <c r="A1133" t="s">
        <v>233</v>
      </c>
      <c r="B1133" t="s">
        <v>939</v>
      </c>
      <c r="C1133">
        <v>174.56</v>
      </c>
      <c r="D1133">
        <v>74.33</v>
      </c>
    </row>
    <row r="1134" spans="1:4" x14ac:dyDescent="0.3">
      <c r="A1134" t="s">
        <v>233</v>
      </c>
      <c r="B1134" t="s">
        <v>978</v>
      </c>
      <c r="C1134">
        <v>318.38</v>
      </c>
      <c r="D1134">
        <v>67.739999999999995</v>
      </c>
    </row>
    <row r="1135" spans="1:4" x14ac:dyDescent="0.3">
      <c r="A1135" t="s">
        <v>233</v>
      </c>
      <c r="B1135" t="s">
        <v>999</v>
      </c>
      <c r="C1135">
        <v>204.51</v>
      </c>
      <c r="D1135">
        <v>64.650000000000006</v>
      </c>
    </row>
    <row r="1136" spans="1:4" x14ac:dyDescent="0.3">
      <c r="A1136" t="s">
        <v>233</v>
      </c>
      <c r="B1136" t="s">
        <v>1019</v>
      </c>
      <c r="C1136">
        <v>133.6</v>
      </c>
      <c r="D1136">
        <v>60.65</v>
      </c>
    </row>
    <row r="1137" spans="1:4" x14ac:dyDescent="0.3">
      <c r="A1137" t="s">
        <v>233</v>
      </c>
      <c r="B1137" t="s">
        <v>1129</v>
      </c>
      <c r="C1137">
        <v>251.91</v>
      </c>
      <c r="D1137">
        <v>50.38</v>
      </c>
    </row>
    <row r="1138" spans="1:4" x14ac:dyDescent="0.3">
      <c r="A1138" t="s">
        <v>233</v>
      </c>
      <c r="B1138" t="s">
        <v>1150</v>
      </c>
      <c r="C1138">
        <v>113.47</v>
      </c>
      <c r="D1138">
        <v>48.84</v>
      </c>
    </row>
    <row r="1139" spans="1:4" x14ac:dyDescent="0.3">
      <c r="A1139" t="s">
        <v>233</v>
      </c>
      <c r="B1139" t="s">
        <v>1206</v>
      </c>
      <c r="C1139">
        <v>135.80000000000001</v>
      </c>
      <c r="D1139">
        <v>43.43</v>
      </c>
    </row>
    <row r="1140" spans="1:4" x14ac:dyDescent="0.3">
      <c r="A1140" t="s">
        <v>233</v>
      </c>
      <c r="B1140" t="s">
        <v>1254</v>
      </c>
      <c r="C1140">
        <v>331.76</v>
      </c>
      <c r="D1140">
        <v>39.81</v>
      </c>
    </row>
    <row r="1141" spans="1:4" x14ac:dyDescent="0.3">
      <c r="A1141" t="s">
        <v>233</v>
      </c>
      <c r="B1141" t="s">
        <v>1264</v>
      </c>
      <c r="C1141">
        <v>94.86</v>
      </c>
      <c r="D1141">
        <v>39.28</v>
      </c>
    </row>
    <row r="1142" spans="1:4" x14ac:dyDescent="0.3">
      <c r="A1142" t="s">
        <v>233</v>
      </c>
      <c r="B1142" t="s">
        <v>1382</v>
      </c>
      <c r="C1142">
        <v>68.28</v>
      </c>
      <c r="D1142">
        <v>29.95</v>
      </c>
    </row>
    <row r="1143" spans="1:4" x14ac:dyDescent="0.3">
      <c r="A1143" t="s">
        <v>233</v>
      </c>
      <c r="B1143" t="s">
        <v>1394</v>
      </c>
      <c r="C1143">
        <v>419.88</v>
      </c>
      <c r="D1143">
        <v>29.39</v>
      </c>
    </row>
    <row r="1144" spans="1:4" x14ac:dyDescent="0.3">
      <c r="A1144" t="s">
        <v>233</v>
      </c>
      <c r="B1144" t="s">
        <v>1480</v>
      </c>
      <c r="C1144">
        <v>50.25</v>
      </c>
      <c r="D1144">
        <v>22.95</v>
      </c>
    </row>
    <row r="1145" spans="1:4" x14ac:dyDescent="0.3">
      <c r="A1145" t="s">
        <v>233</v>
      </c>
      <c r="B1145" t="s">
        <v>1590</v>
      </c>
      <c r="C1145">
        <v>102.61</v>
      </c>
      <c r="D1145">
        <v>16.32</v>
      </c>
    </row>
    <row r="1146" spans="1:4" x14ac:dyDescent="0.3">
      <c r="A1146" t="s">
        <v>233</v>
      </c>
      <c r="B1146" t="s">
        <v>1732</v>
      </c>
      <c r="C1146">
        <v>18.25</v>
      </c>
      <c r="D1146">
        <v>8.58</v>
      </c>
    </row>
    <row r="1147" spans="1:4" x14ac:dyDescent="0.3">
      <c r="A1147" t="s">
        <v>233</v>
      </c>
      <c r="B1147" t="s">
        <v>1746</v>
      </c>
      <c r="C1147">
        <v>25.92</v>
      </c>
      <c r="D1147">
        <v>7.52</v>
      </c>
    </row>
    <row r="1148" spans="1:4" x14ac:dyDescent="0.3">
      <c r="A1148" t="s">
        <v>233</v>
      </c>
      <c r="B1148" t="s">
        <v>1871</v>
      </c>
      <c r="C1148">
        <v>58.34</v>
      </c>
      <c r="D1148">
        <v>-0.3</v>
      </c>
    </row>
    <row r="1149" spans="1:4" x14ac:dyDescent="0.3">
      <c r="A1149" t="s">
        <v>233</v>
      </c>
      <c r="B1149" t="s">
        <v>2034</v>
      </c>
      <c r="C1149">
        <v>2730.11</v>
      </c>
      <c r="D1149">
        <v>-68.81</v>
      </c>
    </row>
    <row r="1150" spans="1:4" x14ac:dyDescent="0.3">
      <c r="A1150" t="s">
        <v>233</v>
      </c>
      <c r="B1150" t="s">
        <v>2085</v>
      </c>
      <c r="C1150">
        <v>224.94</v>
      </c>
      <c r="D1150">
        <v>-164.95</v>
      </c>
    </row>
    <row r="1151" spans="1:4" x14ac:dyDescent="0.3">
      <c r="A1151" t="s">
        <v>233</v>
      </c>
      <c r="B1151" t="s">
        <v>2195</v>
      </c>
      <c r="C1151">
        <v>11099.96</v>
      </c>
      <c r="D1151">
        <v>-8879.9699999999993</v>
      </c>
    </row>
    <row r="1152" spans="1:4" x14ac:dyDescent="0.3">
      <c r="A1152" t="s">
        <v>1804</v>
      </c>
      <c r="B1152" t="s">
        <v>1805</v>
      </c>
      <c r="C1152">
        <v>14.2</v>
      </c>
      <c r="D1152">
        <v>4.4000000000000004</v>
      </c>
    </row>
    <row r="1153" spans="1:4" x14ac:dyDescent="0.3">
      <c r="A1153" t="s">
        <v>876</v>
      </c>
      <c r="B1153" t="s">
        <v>877</v>
      </c>
      <c r="C1153">
        <v>516.53</v>
      </c>
      <c r="D1153">
        <v>87.37</v>
      </c>
    </row>
    <row r="1154" spans="1:4" x14ac:dyDescent="0.3">
      <c r="A1154" t="s">
        <v>292</v>
      </c>
      <c r="B1154" t="s">
        <v>293</v>
      </c>
      <c r="C1154">
        <v>4901.91</v>
      </c>
      <c r="D1154">
        <v>512.99</v>
      </c>
    </row>
    <row r="1155" spans="1:4" x14ac:dyDescent="0.3">
      <c r="A1155" t="s">
        <v>292</v>
      </c>
      <c r="B1155" t="s">
        <v>668</v>
      </c>
      <c r="C1155">
        <v>536.04</v>
      </c>
      <c r="D1155">
        <v>144.72999999999999</v>
      </c>
    </row>
    <row r="1156" spans="1:4" x14ac:dyDescent="0.3">
      <c r="A1156" t="s">
        <v>292</v>
      </c>
      <c r="B1156" t="s">
        <v>962</v>
      </c>
      <c r="C1156">
        <v>170.97</v>
      </c>
      <c r="D1156">
        <v>70.099999999999994</v>
      </c>
    </row>
    <row r="1157" spans="1:4" x14ac:dyDescent="0.3">
      <c r="A1157" t="s">
        <v>292</v>
      </c>
      <c r="B1157" t="s">
        <v>1515</v>
      </c>
      <c r="C1157">
        <v>56.1</v>
      </c>
      <c r="D1157">
        <v>21.32</v>
      </c>
    </row>
    <row r="1158" spans="1:4" x14ac:dyDescent="0.3">
      <c r="A1158" t="s">
        <v>292</v>
      </c>
      <c r="B1158" t="s">
        <v>1630</v>
      </c>
      <c r="C1158">
        <v>59.7</v>
      </c>
      <c r="D1158">
        <v>14.56</v>
      </c>
    </row>
    <row r="1159" spans="1:4" x14ac:dyDescent="0.3">
      <c r="A1159" t="s">
        <v>292</v>
      </c>
      <c r="B1159" t="s">
        <v>1730</v>
      </c>
      <c r="C1159">
        <v>44.89</v>
      </c>
      <c r="D1159">
        <v>8.6199999999999992</v>
      </c>
    </row>
    <row r="1160" spans="1:4" x14ac:dyDescent="0.3">
      <c r="A1160" t="s">
        <v>292</v>
      </c>
      <c r="B1160" t="s">
        <v>1828</v>
      </c>
      <c r="C1160">
        <v>6.48</v>
      </c>
      <c r="D1160">
        <v>3.11</v>
      </c>
    </row>
    <row r="1161" spans="1:4" x14ac:dyDescent="0.3">
      <c r="A1161" t="s">
        <v>292</v>
      </c>
      <c r="B1161" t="s">
        <v>2183</v>
      </c>
      <c r="C1161">
        <v>5282.42</v>
      </c>
      <c r="D1161">
        <v>-989.05</v>
      </c>
    </row>
    <row r="1162" spans="1:4" x14ac:dyDescent="0.3">
      <c r="A1162" t="s">
        <v>1879</v>
      </c>
      <c r="B1162" t="s">
        <v>1880</v>
      </c>
      <c r="C1162">
        <v>13.99</v>
      </c>
      <c r="D1162">
        <v>-1.75</v>
      </c>
    </row>
    <row r="1163" spans="1:4" x14ac:dyDescent="0.3">
      <c r="A1163" t="s">
        <v>349</v>
      </c>
      <c r="B1163" t="s">
        <v>350</v>
      </c>
      <c r="C1163">
        <v>1320.17</v>
      </c>
      <c r="D1163">
        <v>417.02</v>
      </c>
    </row>
    <row r="1164" spans="1:4" x14ac:dyDescent="0.3">
      <c r="A1164" t="s">
        <v>286</v>
      </c>
      <c r="B1164" t="s">
        <v>287</v>
      </c>
      <c r="C1164">
        <v>1619.68</v>
      </c>
      <c r="D1164">
        <v>514.9</v>
      </c>
    </row>
    <row r="1165" spans="1:4" x14ac:dyDescent="0.3">
      <c r="A1165" t="s">
        <v>286</v>
      </c>
      <c r="B1165" t="s">
        <v>852</v>
      </c>
      <c r="C1165">
        <v>449.66</v>
      </c>
      <c r="D1165">
        <v>90.64</v>
      </c>
    </row>
    <row r="1166" spans="1:4" x14ac:dyDescent="0.3">
      <c r="A1166" t="s">
        <v>286</v>
      </c>
      <c r="B1166" t="s">
        <v>1838</v>
      </c>
      <c r="C1166">
        <v>69.14</v>
      </c>
      <c r="D1166">
        <v>2.62</v>
      </c>
    </row>
    <row r="1167" spans="1:4" x14ac:dyDescent="0.3">
      <c r="A1167" t="s">
        <v>286</v>
      </c>
      <c r="B1167" t="s">
        <v>1942</v>
      </c>
      <c r="C1167">
        <v>189.65</v>
      </c>
      <c r="D1167">
        <v>-11.95</v>
      </c>
    </row>
    <row r="1168" spans="1:4" x14ac:dyDescent="0.3">
      <c r="A1168" t="s">
        <v>1347</v>
      </c>
      <c r="B1168" t="s">
        <v>1348</v>
      </c>
      <c r="C1168">
        <v>88.07</v>
      </c>
      <c r="D1168">
        <v>32.29</v>
      </c>
    </row>
    <row r="1169" spans="1:4" x14ac:dyDescent="0.3">
      <c r="A1169" t="s">
        <v>1347</v>
      </c>
      <c r="B1169" t="s">
        <v>1436</v>
      </c>
      <c r="C1169">
        <v>81.010000000000005</v>
      </c>
      <c r="D1169">
        <v>25.76</v>
      </c>
    </row>
    <row r="1170" spans="1:4" x14ac:dyDescent="0.3">
      <c r="A1170" t="s">
        <v>1347</v>
      </c>
      <c r="B1170" t="s">
        <v>1509</v>
      </c>
      <c r="C1170">
        <v>3743.79</v>
      </c>
      <c r="D1170">
        <v>21.6</v>
      </c>
    </row>
    <row r="1171" spans="1:4" x14ac:dyDescent="0.3">
      <c r="A1171" t="s">
        <v>1197</v>
      </c>
      <c r="B1171" t="s">
        <v>1198</v>
      </c>
      <c r="C1171">
        <v>110.02</v>
      </c>
      <c r="D1171">
        <v>43.78</v>
      </c>
    </row>
    <row r="1172" spans="1:4" x14ac:dyDescent="0.3">
      <c r="A1172" t="s">
        <v>482</v>
      </c>
      <c r="B1172" t="s">
        <v>483</v>
      </c>
      <c r="C1172">
        <v>2159.8200000000002</v>
      </c>
      <c r="D1172">
        <v>259.18</v>
      </c>
    </row>
    <row r="1173" spans="1:4" x14ac:dyDescent="0.3">
      <c r="A1173" t="s">
        <v>482</v>
      </c>
      <c r="B1173" t="s">
        <v>657</v>
      </c>
      <c r="C1173">
        <v>325.86</v>
      </c>
      <c r="D1173">
        <v>149.9</v>
      </c>
    </row>
    <row r="1174" spans="1:4" x14ac:dyDescent="0.3">
      <c r="A1174" t="s">
        <v>1037</v>
      </c>
      <c r="B1174" t="s">
        <v>1038</v>
      </c>
      <c r="C1174">
        <v>210.91</v>
      </c>
      <c r="D1174">
        <v>59.22</v>
      </c>
    </row>
    <row r="1175" spans="1:4" x14ac:dyDescent="0.3">
      <c r="A1175" t="s">
        <v>1037</v>
      </c>
      <c r="B1175" t="s">
        <v>1623</v>
      </c>
      <c r="C1175">
        <v>107.91</v>
      </c>
      <c r="D1175">
        <v>14.92</v>
      </c>
    </row>
    <row r="1176" spans="1:4" x14ac:dyDescent="0.3">
      <c r="A1176" t="s">
        <v>425</v>
      </c>
      <c r="B1176" t="s">
        <v>426</v>
      </c>
      <c r="C1176">
        <v>721.74</v>
      </c>
      <c r="D1176">
        <v>314.74</v>
      </c>
    </row>
    <row r="1177" spans="1:4" x14ac:dyDescent="0.3">
      <c r="A1177" t="s">
        <v>425</v>
      </c>
      <c r="B1177" t="s">
        <v>1487</v>
      </c>
      <c r="C1177">
        <v>201.57</v>
      </c>
      <c r="D1177">
        <v>22.68</v>
      </c>
    </row>
    <row r="1178" spans="1:4" x14ac:dyDescent="0.3">
      <c r="A1178" t="s">
        <v>238</v>
      </c>
      <c r="B1178" t="s">
        <v>239</v>
      </c>
      <c r="C1178">
        <v>2863.8</v>
      </c>
      <c r="D1178">
        <v>627.16999999999996</v>
      </c>
    </row>
    <row r="1179" spans="1:4" x14ac:dyDescent="0.3">
      <c r="A1179" t="s">
        <v>238</v>
      </c>
      <c r="B1179" t="s">
        <v>752</v>
      </c>
      <c r="C1179">
        <v>298.2</v>
      </c>
      <c r="D1179">
        <v>116.3</v>
      </c>
    </row>
    <row r="1180" spans="1:4" x14ac:dyDescent="0.3">
      <c r="A1180" t="s">
        <v>238</v>
      </c>
      <c r="B1180" t="s">
        <v>988</v>
      </c>
      <c r="C1180">
        <v>563.80999999999995</v>
      </c>
      <c r="D1180">
        <v>66.28</v>
      </c>
    </row>
    <row r="1181" spans="1:4" x14ac:dyDescent="0.3">
      <c r="A1181" t="s">
        <v>238</v>
      </c>
      <c r="B1181" t="s">
        <v>1048</v>
      </c>
      <c r="C1181">
        <v>436.13</v>
      </c>
      <c r="D1181">
        <v>58.28</v>
      </c>
    </row>
    <row r="1182" spans="1:4" x14ac:dyDescent="0.3">
      <c r="A1182" t="s">
        <v>886</v>
      </c>
      <c r="B1182" t="s">
        <v>887</v>
      </c>
      <c r="C1182">
        <v>376.8</v>
      </c>
      <c r="D1182">
        <v>84.75</v>
      </c>
    </row>
    <row r="1183" spans="1:4" x14ac:dyDescent="0.3">
      <c r="A1183" t="s">
        <v>886</v>
      </c>
      <c r="B1183" t="s">
        <v>1735</v>
      </c>
      <c r="C1183">
        <v>466</v>
      </c>
      <c r="D1183">
        <v>8.4700000000000006</v>
      </c>
    </row>
    <row r="1184" spans="1:4" x14ac:dyDescent="0.3">
      <c r="A1184" t="s">
        <v>886</v>
      </c>
      <c r="B1184" t="s">
        <v>2087</v>
      </c>
      <c r="C1184">
        <v>2904.16</v>
      </c>
      <c r="D1184">
        <v>-170.83</v>
      </c>
    </row>
    <row r="1185" spans="1:4" x14ac:dyDescent="0.3">
      <c r="A1185" t="s">
        <v>1438</v>
      </c>
      <c r="B1185" t="s">
        <v>1439</v>
      </c>
      <c r="C1185">
        <v>67.12</v>
      </c>
      <c r="D1185">
        <v>25.5</v>
      </c>
    </row>
    <row r="1186" spans="1:4" x14ac:dyDescent="0.3">
      <c r="A1186" t="s">
        <v>952</v>
      </c>
      <c r="B1186" t="s">
        <v>953</v>
      </c>
      <c r="C1186">
        <v>673.87</v>
      </c>
      <c r="D1186">
        <v>72.08</v>
      </c>
    </row>
    <row r="1187" spans="1:4" x14ac:dyDescent="0.3">
      <c r="A1187" t="s">
        <v>783</v>
      </c>
      <c r="B1187" t="s">
        <v>784</v>
      </c>
      <c r="C1187">
        <v>270.83999999999997</v>
      </c>
      <c r="D1187">
        <v>108.09</v>
      </c>
    </row>
    <row r="1188" spans="1:4" x14ac:dyDescent="0.3">
      <c r="A1188" t="s">
        <v>783</v>
      </c>
      <c r="B1188" t="s">
        <v>1786</v>
      </c>
      <c r="C1188">
        <v>62.13</v>
      </c>
      <c r="D1188">
        <v>5.43</v>
      </c>
    </row>
    <row r="1189" spans="1:4" x14ac:dyDescent="0.3">
      <c r="A1189" t="s">
        <v>1161</v>
      </c>
      <c r="B1189" t="s">
        <v>1162</v>
      </c>
      <c r="C1189">
        <v>225.04</v>
      </c>
      <c r="D1189">
        <v>47.88</v>
      </c>
    </row>
    <row r="1190" spans="1:4" x14ac:dyDescent="0.3">
      <c r="A1190" t="s">
        <v>1161</v>
      </c>
      <c r="B1190" t="s">
        <v>1185</v>
      </c>
      <c r="C1190">
        <v>336.51</v>
      </c>
      <c r="D1190">
        <v>44.87</v>
      </c>
    </row>
    <row r="1191" spans="1:4" x14ac:dyDescent="0.3">
      <c r="A1191" t="s">
        <v>1161</v>
      </c>
      <c r="B1191" t="s">
        <v>1335</v>
      </c>
      <c r="C1191">
        <v>80.349999999999994</v>
      </c>
      <c r="D1191">
        <v>33.18</v>
      </c>
    </row>
    <row r="1192" spans="1:4" x14ac:dyDescent="0.3">
      <c r="A1192" t="s">
        <v>1161</v>
      </c>
      <c r="B1192" t="s">
        <v>1906</v>
      </c>
      <c r="C1192">
        <v>1.62</v>
      </c>
      <c r="D1192">
        <v>-4.47</v>
      </c>
    </row>
    <row r="1193" spans="1:4" x14ac:dyDescent="0.3">
      <c r="A1193" t="s">
        <v>1161</v>
      </c>
      <c r="B1193" t="s">
        <v>2151</v>
      </c>
      <c r="C1193">
        <v>2032.35</v>
      </c>
      <c r="D1193">
        <v>-460.67</v>
      </c>
    </row>
    <row r="1194" spans="1:4" x14ac:dyDescent="0.3">
      <c r="A1194" t="s">
        <v>1161</v>
      </c>
      <c r="B1194" t="s">
        <v>2163</v>
      </c>
      <c r="C1194">
        <v>2058.5</v>
      </c>
      <c r="D1194">
        <v>-529.76</v>
      </c>
    </row>
    <row r="1195" spans="1:4" x14ac:dyDescent="0.3">
      <c r="A1195" t="s">
        <v>328</v>
      </c>
      <c r="B1195" t="s">
        <v>329</v>
      </c>
      <c r="C1195">
        <v>1617.95</v>
      </c>
      <c r="D1195">
        <v>448.16</v>
      </c>
    </row>
    <row r="1196" spans="1:4" x14ac:dyDescent="0.3">
      <c r="A1196" t="s">
        <v>328</v>
      </c>
      <c r="B1196" t="s">
        <v>1268</v>
      </c>
      <c r="C1196">
        <v>90.55</v>
      </c>
      <c r="D1196">
        <v>38.81</v>
      </c>
    </row>
    <row r="1197" spans="1:4" x14ac:dyDescent="0.3">
      <c r="A1197" t="s">
        <v>937</v>
      </c>
      <c r="B1197" t="s">
        <v>938</v>
      </c>
      <c r="C1197">
        <v>155.25</v>
      </c>
      <c r="D1197">
        <v>74.52</v>
      </c>
    </row>
    <row r="1198" spans="1:4" x14ac:dyDescent="0.3">
      <c r="A1198" t="s">
        <v>937</v>
      </c>
      <c r="B1198" t="s">
        <v>1457</v>
      </c>
      <c r="C1198">
        <v>54.43</v>
      </c>
      <c r="D1198">
        <v>24.11</v>
      </c>
    </row>
    <row r="1199" spans="1:4" x14ac:dyDescent="0.3">
      <c r="A1199" t="s">
        <v>1127</v>
      </c>
      <c r="B1199" t="s">
        <v>1128</v>
      </c>
      <c r="C1199">
        <v>503.86</v>
      </c>
      <c r="D1199">
        <v>50.39</v>
      </c>
    </row>
    <row r="1200" spans="1:4" x14ac:dyDescent="0.3">
      <c r="A1200" t="s">
        <v>932</v>
      </c>
      <c r="B1200" t="s">
        <v>933</v>
      </c>
      <c r="C1200">
        <v>1135.03</v>
      </c>
      <c r="D1200">
        <v>75.23</v>
      </c>
    </row>
    <row r="1201" spans="1:4" x14ac:dyDescent="0.3">
      <c r="A1201" t="s">
        <v>932</v>
      </c>
      <c r="B1201" t="s">
        <v>1645</v>
      </c>
      <c r="C1201">
        <v>68.48</v>
      </c>
      <c r="D1201">
        <v>13.78</v>
      </c>
    </row>
    <row r="1202" spans="1:4" x14ac:dyDescent="0.3">
      <c r="A1202" t="s">
        <v>932</v>
      </c>
      <c r="B1202" t="s">
        <v>1807</v>
      </c>
      <c r="C1202">
        <v>11.95</v>
      </c>
      <c r="D1202">
        <v>4.33</v>
      </c>
    </row>
    <row r="1203" spans="1:4" x14ac:dyDescent="0.3">
      <c r="A1203" t="s">
        <v>35</v>
      </c>
      <c r="B1203" t="s">
        <v>36</v>
      </c>
      <c r="C1203">
        <v>61599.82</v>
      </c>
      <c r="D1203">
        <v>25199.93</v>
      </c>
    </row>
    <row r="1204" spans="1:4" x14ac:dyDescent="0.3">
      <c r="A1204" t="s">
        <v>35</v>
      </c>
      <c r="B1204" t="s">
        <v>39</v>
      </c>
      <c r="C1204">
        <v>18839.689999999999</v>
      </c>
      <c r="D1204">
        <v>6983.88</v>
      </c>
    </row>
    <row r="1205" spans="1:4" x14ac:dyDescent="0.3">
      <c r="A1205" t="s">
        <v>35</v>
      </c>
      <c r="B1205" t="s">
        <v>69</v>
      </c>
      <c r="C1205">
        <v>5119.74</v>
      </c>
      <c r="D1205">
        <v>2155.89</v>
      </c>
    </row>
    <row r="1206" spans="1:4" x14ac:dyDescent="0.3">
      <c r="A1206" t="s">
        <v>35</v>
      </c>
      <c r="B1206" t="s">
        <v>70</v>
      </c>
      <c r="C1206">
        <v>5669.87</v>
      </c>
      <c r="D1206">
        <v>2092.4499999999998</v>
      </c>
    </row>
    <row r="1207" spans="1:4" x14ac:dyDescent="0.3">
      <c r="A1207" t="s">
        <v>35</v>
      </c>
      <c r="B1207" t="s">
        <v>145</v>
      </c>
      <c r="C1207">
        <v>3234.91</v>
      </c>
      <c r="D1207">
        <v>1086.3800000000001</v>
      </c>
    </row>
    <row r="1208" spans="1:4" x14ac:dyDescent="0.3">
      <c r="A1208" t="s">
        <v>35</v>
      </c>
      <c r="B1208" t="s">
        <v>157</v>
      </c>
      <c r="C1208">
        <v>4476.96</v>
      </c>
      <c r="D1208">
        <v>956.95</v>
      </c>
    </row>
    <row r="1209" spans="1:4" x14ac:dyDescent="0.3">
      <c r="A1209" t="s">
        <v>35</v>
      </c>
      <c r="B1209" t="s">
        <v>213</v>
      </c>
      <c r="C1209">
        <v>1740.51</v>
      </c>
      <c r="D1209">
        <v>704.59</v>
      </c>
    </row>
    <row r="1210" spans="1:4" x14ac:dyDescent="0.3">
      <c r="A1210" t="s">
        <v>35</v>
      </c>
      <c r="B1210" t="s">
        <v>223</v>
      </c>
      <c r="C1210">
        <v>4181.75</v>
      </c>
      <c r="D1210">
        <v>693.56</v>
      </c>
    </row>
    <row r="1211" spans="1:4" x14ac:dyDescent="0.3">
      <c r="A1211" t="s">
        <v>35</v>
      </c>
      <c r="B1211" t="s">
        <v>337</v>
      </c>
      <c r="C1211">
        <v>9630.86</v>
      </c>
      <c r="D1211">
        <v>429.79</v>
      </c>
    </row>
    <row r="1212" spans="1:4" x14ac:dyDescent="0.3">
      <c r="A1212" t="s">
        <v>35</v>
      </c>
      <c r="B1212" t="s">
        <v>347</v>
      </c>
      <c r="C1212">
        <v>3946.66</v>
      </c>
      <c r="D1212">
        <v>419.33</v>
      </c>
    </row>
    <row r="1213" spans="1:4" x14ac:dyDescent="0.3">
      <c r="A1213" t="s">
        <v>35</v>
      </c>
      <c r="B1213" t="s">
        <v>359</v>
      </c>
      <c r="C1213">
        <v>1926.94</v>
      </c>
      <c r="D1213">
        <v>408.74</v>
      </c>
    </row>
    <row r="1214" spans="1:4" x14ac:dyDescent="0.3">
      <c r="A1214" t="s">
        <v>35</v>
      </c>
      <c r="B1214" t="s">
        <v>363</v>
      </c>
      <c r="C1214">
        <v>970.78</v>
      </c>
      <c r="D1214">
        <v>400.98</v>
      </c>
    </row>
    <row r="1215" spans="1:4" x14ac:dyDescent="0.3">
      <c r="A1215" t="s">
        <v>35</v>
      </c>
      <c r="B1215" t="s">
        <v>468</v>
      </c>
      <c r="C1215">
        <v>1108.8</v>
      </c>
      <c r="D1215">
        <v>275.31</v>
      </c>
    </row>
    <row r="1216" spans="1:4" x14ac:dyDescent="0.3">
      <c r="A1216" t="s">
        <v>35</v>
      </c>
      <c r="B1216" t="s">
        <v>556</v>
      </c>
      <c r="C1216">
        <v>1324.8</v>
      </c>
      <c r="D1216">
        <v>201.83</v>
      </c>
    </row>
    <row r="1217" spans="1:4" x14ac:dyDescent="0.3">
      <c r="A1217" t="s">
        <v>35</v>
      </c>
      <c r="B1217" t="s">
        <v>607</v>
      </c>
      <c r="C1217">
        <v>442.55</v>
      </c>
      <c r="D1217">
        <v>171.26</v>
      </c>
    </row>
    <row r="1218" spans="1:4" x14ac:dyDescent="0.3">
      <c r="A1218" t="s">
        <v>35</v>
      </c>
      <c r="B1218" t="s">
        <v>618</v>
      </c>
      <c r="C1218">
        <v>1614.6</v>
      </c>
      <c r="D1218">
        <v>165.6</v>
      </c>
    </row>
    <row r="1219" spans="1:4" x14ac:dyDescent="0.3">
      <c r="A1219" t="s">
        <v>35</v>
      </c>
      <c r="B1219" t="s">
        <v>626</v>
      </c>
      <c r="C1219">
        <v>3839.62</v>
      </c>
      <c r="D1219">
        <v>162.62</v>
      </c>
    </row>
    <row r="1220" spans="1:4" x14ac:dyDescent="0.3">
      <c r="A1220" t="s">
        <v>35</v>
      </c>
      <c r="B1220" t="s">
        <v>631</v>
      </c>
      <c r="C1220">
        <v>421.01</v>
      </c>
      <c r="D1220">
        <v>162.01</v>
      </c>
    </row>
    <row r="1221" spans="1:4" x14ac:dyDescent="0.3">
      <c r="A1221" t="s">
        <v>35</v>
      </c>
      <c r="B1221" t="s">
        <v>653</v>
      </c>
      <c r="C1221">
        <v>336.95</v>
      </c>
      <c r="D1221">
        <v>150.97</v>
      </c>
    </row>
    <row r="1222" spans="1:4" x14ac:dyDescent="0.3">
      <c r="A1222" t="s">
        <v>35</v>
      </c>
      <c r="B1222" t="s">
        <v>656</v>
      </c>
      <c r="C1222">
        <v>873.64</v>
      </c>
      <c r="D1222">
        <v>149.94</v>
      </c>
    </row>
    <row r="1223" spans="1:4" x14ac:dyDescent="0.3">
      <c r="A1223" t="s">
        <v>35</v>
      </c>
      <c r="B1223" t="s">
        <v>660</v>
      </c>
      <c r="C1223">
        <v>2267.9699999999998</v>
      </c>
      <c r="D1223">
        <v>148.37</v>
      </c>
    </row>
    <row r="1224" spans="1:4" x14ac:dyDescent="0.3">
      <c r="A1224" t="s">
        <v>35</v>
      </c>
      <c r="B1224" t="s">
        <v>696</v>
      </c>
      <c r="C1224">
        <v>899.75</v>
      </c>
      <c r="D1224">
        <v>132.08000000000001</v>
      </c>
    </row>
    <row r="1225" spans="1:4" x14ac:dyDescent="0.3">
      <c r="A1225" t="s">
        <v>35</v>
      </c>
      <c r="B1225" t="s">
        <v>700</v>
      </c>
      <c r="C1225">
        <v>379.7</v>
      </c>
      <c r="D1225">
        <v>129.97999999999999</v>
      </c>
    </row>
    <row r="1226" spans="1:4" x14ac:dyDescent="0.3">
      <c r="A1226" t="s">
        <v>35</v>
      </c>
      <c r="B1226" t="s">
        <v>709</v>
      </c>
      <c r="C1226">
        <v>479.34</v>
      </c>
      <c r="D1226">
        <v>127.3</v>
      </c>
    </row>
    <row r="1227" spans="1:4" x14ac:dyDescent="0.3">
      <c r="A1227" t="s">
        <v>35</v>
      </c>
      <c r="B1227" t="s">
        <v>717</v>
      </c>
      <c r="C1227">
        <v>433.79</v>
      </c>
      <c r="D1227">
        <v>125.78</v>
      </c>
    </row>
    <row r="1228" spans="1:4" x14ac:dyDescent="0.3">
      <c r="A1228" t="s">
        <v>35</v>
      </c>
      <c r="B1228" t="s">
        <v>722</v>
      </c>
      <c r="C1228">
        <v>513.71</v>
      </c>
      <c r="D1228">
        <v>123.93</v>
      </c>
    </row>
    <row r="1229" spans="1:4" x14ac:dyDescent="0.3">
      <c r="A1229" t="s">
        <v>35</v>
      </c>
      <c r="B1229" t="s">
        <v>728</v>
      </c>
      <c r="C1229">
        <v>419.23</v>
      </c>
      <c r="D1229">
        <v>122.6</v>
      </c>
    </row>
    <row r="1230" spans="1:4" x14ac:dyDescent="0.3">
      <c r="A1230" t="s">
        <v>35</v>
      </c>
      <c r="B1230" t="s">
        <v>805</v>
      </c>
      <c r="C1230">
        <v>500.31</v>
      </c>
      <c r="D1230">
        <v>101.79</v>
      </c>
    </row>
    <row r="1231" spans="1:4" x14ac:dyDescent="0.3">
      <c r="A1231" t="s">
        <v>35</v>
      </c>
      <c r="B1231" t="s">
        <v>861</v>
      </c>
      <c r="C1231">
        <v>737.75</v>
      </c>
      <c r="D1231">
        <v>89.97</v>
      </c>
    </row>
    <row r="1232" spans="1:4" x14ac:dyDescent="0.3">
      <c r="A1232" t="s">
        <v>35</v>
      </c>
      <c r="B1232" t="s">
        <v>871</v>
      </c>
      <c r="C1232">
        <v>240.76</v>
      </c>
      <c r="D1232">
        <v>88.19</v>
      </c>
    </row>
    <row r="1233" spans="1:4" x14ac:dyDescent="0.3">
      <c r="A1233" t="s">
        <v>35</v>
      </c>
      <c r="B1233" t="s">
        <v>879</v>
      </c>
      <c r="C1233">
        <v>333.56</v>
      </c>
      <c r="D1233">
        <v>86.86</v>
      </c>
    </row>
    <row r="1234" spans="1:4" x14ac:dyDescent="0.3">
      <c r="A1234" t="s">
        <v>35</v>
      </c>
      <c r="B1234" t="s">
        <v>899</v>
      </c>
      <c r="C1234">
        <v>343.08</v>
      </c>
      <c r="D1234">
        <v>81.55</v>
      </c>
    </row>
    <row r="1235" spans="1:4" x14ac:dyDescent="0.3">
      <c r="A1235" t="s">
        <v>35</v>
      </c>
      <c r="B1235" t="s">
        <v>904</v>
      </c>
      <c r="C1235">
        <v>200.16</v>
      </c>
      <c r="D1235">
        <v>80.900000000000006</v>
      </c>
    </row>
    <row r="1236" spans="1:4" x14ac:dyDescent="0.3">
      <c r="A1236" t="s">
        <v>35</v>
      </c>
      <c r="B1236" t="s">
        <v>930</v>
      </c>
      <c r="C1236">
        <v>165.66</v>
      </c>
      <c r="D1236">
        <v>75.349999999999994</v>
      </c>
    </row>
    <row r="1237" spans="1:4" x14ac:dyDescent="0.3">
      <c r="A1237" t="s">
        <v>35</v>
      </c>
      <c r="B1237" t="s">
        <v>973</v>
      </c>
      <c r="C1237">
        <v>219.78</v>
      </c>
      <c r="D1237">
        <v>68.38</v>
      </c>
    </row>
    <row r="1238" spans="1:4" x14ac:dyDescent="0.3">
      <c r="A1238" t="s">
        <v>35</v>
      </c>
      <c r="B1238" t="s">
        <v>995</v>
      </c>
      <c r="C1238">
        <v>225.73</v>
      </c>
      <c r="D1238">
        <v>64.77</v>
      </c>
    </row>
    <row r="1239" spans="1:4" x14ac:dyDescent="0.3">
      <c r="A1239" t="s">
        <v>35</v>
      </c>
      <c r="B1239" t="s">
        <v>1014</v>
      </c>
      <c r="C1239">
        <v>455.46</v>
      </c>
      <c r="D1239">
        <v>61.43</v>
      </c>
    </row>
    <row r="1240" spans="1:4" x14ac:dyDescent="0.3">
      <c r="A1240" t="s">
        <v>35</v>
      </c>
      <c r="B1240" t="s">
        <v>1022</v>
      </c>
      <c r="C1240">
        <v>197.95</v>
      </c>
      <c r="D1240">
        <v>60.47</v>
      </c>
    </row>
    <row r="1241" spans="1:4" x14ac:dyDescent="0.3">
      <c r="A1241" t="s">
        <v>35</v>
      </c>
      <c r="B1241" t="s">
        <v>1078</v>
      </c>
      <c r="C1241">
        <v>153.72</v>
      </c>
      <c r="D1241">
        <v>55.06</v>
      </c>
    </row>
    <row r="1242" spans="1:4" x14ac:dyDescent="0.3">
      <c r="A1242" t="s">
        <v>35</v>
      </c>
      <c r="B1242" t="s">
        <v>1089</v>
      </c>
      <c r="C1242">
        <v>173.5</v>
      </c>
      <c r="D1242">
        <v>53.58</v>
      </c>
    </row>
    <row r="1243" spans="1:4" x14ac:dyDescent="0.3">
      <c r="A1243" t="s">
        <v>35</v>
      </c>
      <c r="B1243" t="s">
        <v>1135</v>
      </c>
      <c r="C1243">
        <v>361.87</v>
      </c>
      <c r="D1243">
        <v>50.01</v>
      </c>
    </row>
    <row r="1244" spans="1:4" x14ac:dyDescent="0.3">
      <c r="A1244" t="s">
        <v>35</v>
      </c>
      <c r="B1244" t="s">
        <v>1137</v>
      </c>
      <c r="C1244">
        <v>209.66</v>
      </c>
      <c r="D1244">
        <v>49.8</v>
      </c>
    </row>
    <row r="1245" spans="1:4" x14ac:dyDescent="0.3">
      <c r="A1245" t="s">
        <v>35</v>
      </c>
      <c r="B1245" t="s">
        <v>1151</v>
      </c>
      <c r="C1245">
        <v>168.74</v>
      </c>
      <c r="D1245">
        <v>48.82</v>
      </c>
    </row>
    <row r="1246" spans="1:4" x14ac:dyDescent="0.3">
      <c r="A1246" t="s">
        <v>35</v>
      </c>
      <c r="B1246" t="s">
        <v>1159</v>
      </c>
      <c r="C1246">
        <v>151.06</v>
      </c>
      <c r="D1246">
        <v>47.98</v>
      </c>
    </row>
    <row r="1247" spans="1:4" x14ac:dyDescent="0.3">
      <c r="A1247" t="s">
        <v>35</v>
      </c>
      <c r="B1247" t="s">
        <v>1160</v>
      </c>
      <c r="C1247">
        <v>113.85</v>
      </c>
      <c r="D1247">
        <v>47.94</v>
      </c>
    </row>
    <row r="1248" spans="1:4" x14ac:dyDescent="0.3">
      <c r="A1248" t="s">
        <v>35</v>
      </c>
      <c r="B1248" t="s">
        <v>1164</v>
      </c>
      <c r="C1248">
        <v>121.82</v>
      </c>
      <c r="D1248">
        <v>47.69</v>
      </c>
    </row>
    <row r="1249" spans="1:4" x14ac:dyDescent="0.3">
      <c r="A1249" t="s">
        <v>35</v>
      </c>
      <c r="B1249" t="s">
        <v>1174</v>
      </c>
      <c r="C1249">
        <v>120.53</v>
      </c>
      <c r="D1249">
        <v>46.4</v>
      </c>
    </row>
    <row r="1250" spans="1:4" x14ac:dyDescent="0.3">
      <c r="A1250" t="s">
        <v>35</v>
      </c>
      <c r="B1250" t="s">
        <v>1175</v>
      </c>
      <c r="C1250">
        <v>1431.94</v>
      </c>
      <c r="D1250">
        <v>46.33</v>
      </c>
    </row>
    <row r="1251" spans="1:4" x14ac:dyDescent="0.3">
      <c r="A1251" t="s">
        <v>35</v>
      </c>
      <c r="B1251" t="s">
        <v>1178</v>
      </c>
      <c r="C1251">
        <v>119.92</v>
      </c>
      <c r="D1251">
        <v>46.06</v>
      </c>
    </row>
    <row r="1252" spans="1:4" x14ac:dyDescent="0.3">
      <c r="A1252" t="s">
        <v>35</v>
      </c>
      <c r="B1252" t="s">
        <v>1184</v>
      </c>
      <c r="C1252">
        <v>108.42</v>
      </c>
      <c r="D1252">
        <v>44.99</v>
      </c>
    </row>
    <row r="1253" spans="1:4" x14ac:dyDescent="0.3">
      <c r="A1253" t="s">
        <v>35</v>
      </c>
      <c r="B1253" t="s">
        <v>1234</v>
      </c>
      <c r="C1253">
        <v>244.29</v>
      </c>
      <c r="D1253">
        <v>41.64</v>
      </c>
    </row>
    <row r="1254" spans="1:4" x14ac:dyDescent="0.3">
      <c r="A1254" t="s">
        <v>35</v>
      </c>
      <c r="B1254" t="s">
        <v>1275</v>
      </c>
      <c r="C1254">
        <v>299.85000000000002</v>
      </c>
      <c r="D1254">
        <v>38.18</v>
      </c>
    </row>
    <row r="1255" spans="1:4" x14ac:dyDescent="0.3">
      <c r="A1255" t="s">
        <v>35</v>
      </c>
      <c r="B1255" t="s">
        <v>1316</v>
      </c>
      <c r="C1255">
        <v>95.9</v>
      </c>
      <c r="D1255">
        <v>35.25</v>
      </c>
    </row>
    <row r="1256" spans="1:4" x14ac:dyDescent="0.3">
      <c r="A1256" t="s">
        <v>35</v>
      </c>
      <c r="B1256" t="s">
        <v>1317</v>
      </c>
      <c r="C1256">
        <v>79.06</v>
      </c>
      <c r="D1256">
        <v>35.25</v>
      </c>
    </row>
    <row r="1257" spans="1:4" x14ac:dyDescent="0.3">
      <c r="A1257" t="s">
        <v>35</v>
      </c>
      <c r="B1257" t="s">
        <v>1370</v>
      </c>
      <c r="C1257">
        <v>83.71</v>
      </c>
      <c r="D1257">
        <v>30.74</v>
      </c>
    </row>
    <row r="1258" spans="1:4" x14ac:dyDescent="0.3">
      <c r="A1258" t="s">
        <v>35</v>
      </c>
      <c r="B1258" t="s">
        <v>1378</v>
      </c>
      <c r="C1258">
        <v>66.03</v>
      </c>
      <c r="D1258">
        <v>30.28</v>
      </c>
    </row>
    <row r="1259" spans="1:4" x14ac:dyDescent="0.3">
      <c r="A1259" t="s">
        <v>35</v>
      </c>
      <c r="B1259" t="s">
        <v>1404</v>
      </c>
      <c r="C1259">
        <v>441.73</v>
      </c>
      <c r="D1259">
        <v>28.26</v>
      </c>
    </row>
    <row r="1260" spans="1:4" x14ac:dyDescent="0.3">
      <c r="A1260" t="s">
        <v>35</v>
      </c>
      <c r="B1260" t="s">
        <v>1425</v>
      </c>
      <c r="C1260">
        <v>94.86</v>
      </c>
      <c r="D1260">
        <v>26.78</v>
      </c>
    </row>
    <row r="1261" spans="1:4" x14ac:dyDescent="0.3">
      <c r="A1261" t="s">
        <v>35</v>
      </c>
      <c r="B1261" t="s">
        <v>1444</v>
      </c>
      <c r="C1261">
        <v>373.78</v>
      </c>
      <c r="D1261">
        <v>24.81</v>
      </c>
    </row>
    <row r="1262" spans="1:4" x14ac:dyDescent="0.3">
      <c r="A1262" t="s">
        <v>35</v>
      </c>
      <c r="B1262" t="s">
        <v>1485</v>
      </c>
      <c r="C1262">
        <v>49.98</v>
      </c>
      <c r="D1262">
        <v>22.71</v>
      </c>
    </row>
    <row r="1263" spans="1:4" x14ac:dyDescent="0.3">
      <c r="A1263" t="s">
        <v>35</v>
      </c>
      <c r="B1263" t="s">
        <v>1492</v>
      </c>
      <c r="C1263">
        <v>54.6</v>
      </c>
      <c r="D1263">
        <v>22.47</v>
      </c>
    </row>
    <row r="1264" spans="1:4" x14ac:dyDescent="0.3">
      <c r="A1264" t="s">
        <v>35</v>
      </c>
      <c r="B1264" t="s">
        <v>1554</v>
      </c>
      <c r="C1264">
        <v>50.14</v>
      </c>
      <c r="D1264">
        <v>18.78</v>
      </c>
    </row>
    <row r="1265" spans="1:4" x14ac:dyDescent="0.3">
      <c r="A1265" t="s">
        <v>35</v>
      </c>
      <c r="B1265" t="s">
        <v>1560</v>
      </c>
      <c r="C1265">
        <v>131.1</v>
      </c>
      <c r="D1265">
        <v>18.41</v>
      </c>
    </row>
    <row r="1266" spans="1:4" x14ac:dyDescent="0.3">
      <c r="A1266" t="s">
        <v>35</v>
      </c>
      <c r="B1266" t="s">
        <v>1564</v>
      </c>
      <c r="C1266">
        <v>175.42</v>
      </c>
      <c r="D1266">
        <v>17.989999999999998</v>
      </c>
    </row>
    <row r="1267" spans="1:4" x14ac:dyDescent="0.3">
      <c r="A1267" t="s">
        <v>35</v>
      </c>
      <c r="B1267" t="s">
        <v>1567</v>
      </c>
      <c r="C1267">
        <v>118.3</v>
      </c>
      <c r="D1267">
        <v>17.86</v>
      </c>
    </row>
    <row r="1268" spans="1:4" x14ac:dyDescent="0.3">
      <c r="A1268" t="s">
        <v>35</v>
      </c>
      <c r="B1268" t="s">
        <v>1650</v>
      </c>
      <c r="C1268">
        <v>89.55</v>
      </c>
      <c r="D1268">
        <v>13.61</v>
      </c>
    </row>
    <row r="1269" spans="1:4" x14ac:dyDescent="0.3">
      <c r="A1269" t="s">
        <v>35</v>
      </c>
      <c r="B1269" t="s">
        <v>1656</v>
      </c>
      <c r="C1269">
        <v>79.97</v>
      </c>
      <c r="D1269">
        <v>13.17</v>
      </c>
    </row>
    <row r="1270" spans="1:4" x14ac:dyDescent="0.3">
      <c r="A1270" t="s">
        <v>35</v>
      </c>
      <c r="B1270" t="s">
        <v>1670</v>
      </c>
      <c r="C1270">
        <v>36.92</v>
      </c>
      <c r="D1270">
        <v>12.3</v>
      </c>
    </row>
    <row r="1271" spans="1:4" x14ac:dyDescent="0.3">
      <c r="A1271" t="s">
        <v>35</v>
      </c>
      <c r="B1271" t="s">
        <v>1707</v>
      </c>
      <c r="C1271">
        <v>107.96</v>
      </c>
      <c r="D1271">
        <v>9.6</v>
      </c>
    </row>
    <row r="1272" spans="1:4" x14ac:dyDescent="0.3">
      <c r="A1272" t="s">
        <v>35</v>
      </c>
      <c r="B1272" t="s">
        <v>1711</v>
      </c>
      <c r="C1272">
        <v>72.709999999999994</v>
      </c>
      <c r="D1272">
        <v>9.31</v>
      </c>
    </row>
    <row r="1273" spans="1:4" x14ac:dyDescent="0.3">
      <c r="A1273" t="s">
        <v>35</v>
      </c>
      <c r="B1273" t="s">
        <v>1712</v>
      </c>
      <c r="C1273">
        <v>50.77</v>
      </c>
      <c r="D1273">
        <v>9.2899999999999991</v>
      </c>
    </row>
    <row r="1274" spans="1:4" x14ac:dyDescent="0.3">
      <c r="A1274" t="s">
        <v>35</v>
      </c>
      <c r="B1274" t="s">
        <v>1719</v>
      </c>
      <c r="C1274">
        <v>26.57</v>
      </c>
      <c r="D1274">
        <v>8.9700000000000006</v>
      </c>
    </row>
    <row r="1275" spans="1:4" x14ac:dyDescent="0.3">
      <c r="A1275" t="s">
        <v>35</v>
      </c>
      <c r="B1275" t="s">
        <v>1796</v>
      </c>
      <c r="C1275">
        <v>16.399999999999999</v>
      </c>
      <c r="D1275">
        <v>5.0599999999999996</v>
      </c>
    </row>
    <row r="1276" spans="1:4" x14ac:dyDescent="0.3">
      <c r="A1276" t="s">
        <v>35</v>
      </c>
      <c r="B1276" t="s">
        <v>1808</v>
      </c>
      <c r="C1276">
        <v>38.020000000000003</v>
      </c>
      <c r="D1276">
        <v>4.32</v>
      </c>
    </row>
    <row r="1277" spans="1:4" x14ac:dyDescent="0.3">
      <c r="A1277" t="s">
        <v>35</v>
      </c>
      <c r="B1277" t="s">
        <v>1810</v>
      </c>
      <c r="C1277">
        <v>65.34</v>
      </c>
      <c r="D1277">
        <v>3.91</v>
      </c>
    </row>
    <row r="1278" spans="1:4" x14ac:dyDescent="0.3">
      <c r="A1278" t="s">
        <v>35</v>
      </c>
      <c r="B1278" t="s">
        <v>1816</v>
      </c>
      <c r="C1278">
        <v>36.74</v>
      </c>
      <c r="D1278">
        <v>3.67</v>
      </c>
    </row>
    <row r="1279" spans="1:4" x14ac:dyDescent="0.3">
      <c r="A1279" t="s">
        <v>35</v>
      </c>
      <c r="B1279" t="s">
        <v>1823</v>
      </c>
      <c r="C1279">
        <v>8.1</v>
      </c>
      <c r="D1279">
        <v>3.4</v>
      </c>
    </row>
    <row r="1280" spans="1:4" x14ac:dyDescent="0.3">
      <c r="A1280" t="s">
        <v>35</v>
      </c>
      <c r="B1280" t="s">
        <v>1841</v>
      </c>
      <c r="C1280">
        <v>22.88</v>
      </c>
      <c r="D1280">
        <v>2.36</v>
      </c>
    </row>
    <row r="1281" spans="1:4" x14ac:dyDescent="0.3">
      <c r="A1281" t="s">
        <v>35</v>
      </c>
      <c r="B1281" t="s">
        <v>1855</v>
      </c>
      <c r="C1281">
        <v>105.14</v>
      </c>
      <c r="D1281">
        <v>0.81</v>
      </c>
    </row>
    <row r="1282" spans="1:4" x14ac:dyDescent="0.3">
      <c r="A1282" t="s">
        <v>35</v>
      </c>
      <c r="B1282" t="s">
        <v>1859</v>
      </c>
      <c r="C1282">
        <v>9.77</v>
      </c>
      <c r="D1282">
        <v>0.44</v>
      </c>
    </row>
    <row r="1283" spans="1:4" x14ac:dyDescent="0.3">
      <c r="A1283" t="s">
        <v>35</v>
      </c>
      <c r="B1283" t="s">
        <v>1872</v>
      </c>
      <c r="C1283">
        <v>13.07</v>
      </c>
      <c r="D1283">
        <v>-0.51</v>
      </c>
    </row>
    <row r="1284" spans="1:4" x14ac:dyDescent="0.3">
      <c r="A1284" t="s">
        <v>35</v>
      </c>
      <c r="B1284" t="s">
        <v>1885</v>
      </c>
      <c r="C1284">
        <v>39.380000000000003</v>
      </c>
      <c r="D1284">
        <v>-1.97</v>
      </c>
    </row>
    <row r="1285" spans="1:4" x14ac:dyDescent="0.3">
      <c r="A1285" t="s">
        <v>35</v>
      </c>
      <c r="B1285" t="s">
        <v>1943</v>
      </c>
      <c r="C1285">
        <v>215.89</v>
      </c>
      <c r="D1285">
        <v>-11.99</v>
      </c>
    </row>
    <row r="1286" spans="1:4" x14ac:dyDescent="0.3">
      <c r="A1286" t="s">
        <v>35</v>
      </c>
      <c r="B1286" t="s">
        <v>1952</v>
      </c>
      <c r="C1286">
        <v>236.99</v>
      </c>
      <c r="D1286">
        <v>-12.88</v>
      </c>
    </row>
    <row r="1287" spans="1:4" x14ac:dyDescent="0.3">
      <c r="A1287" t="s">
        <v>35</v>
      </c>
      <c r="B1287" t="s">
        <v>1954</v>
      </c>
      <c r="C1287">
        <v>607.07000000000005</v>
      </c>
      <c r="D1287">
        <v>-13.34</v>
      </c>
    </row>
    <row r="1288" spans="1:4" x14ac:dyDescent="0.3">
      <c r="A1288" t="s">
        <v>35</v>
      </c>
      <c r="B1288" t="s">
        <v>1967</v>
      </c>
      <c r="C1288">
        <v>212.66</v>
      </c>
      <c r="D1288">
        <v>-18.41</v>
      </c>
    </row>
    <row r="1289" spans="1:4" x14ac:dyDescent="0.3">
      <c r="A1289" t="s">
        <v>35</v>
      </c>
      <c r="B1289" t="s">
        <v>1986</v>
      </c>
      <c r="C1289">
        <v>402.82</v>
      </c>
      <c r="D1289">
        <v>-26.43</v>
      </c>
    </row>
    <row r="1290" spans="1:4" x14ac:dyDescent="0.3">
      <c r="A1290" t="s">
        <v>35</v>
      </c>
      <c r="B1290" t="s">
        <v>1991</v>
      </c>
      <c r="C1290">
        <v>688.14</v>
      </c>
      <c r="D1290">
        <v>-31.08</v>
      </c>
    </row>
    <row r="1291" spans="1:4" x14ac:dyDescent="0.3">
      <c r="A1291" t="s">
        <v>35</v>
      </c>
      <c r="B1291" t="s">
        <v>2020</v>
      </c>
      <c r="C1291">
        <v>872.26</v>
      </c>
      <c r="D1291">
        <v>-52.57</v>
      </c>
    </row>
    <row r="1292" spans="1:4" x14ac:dyDescent="0.3">
      <c r="A1292" t="s">
        <v>35</v>
      </c>
      <c r="B1292" t="s">
        <v>2027</v>
      </c>
      <c r="C1292">
        <v>461.87</v>
      </c>
      <c r="D1292">
        <v>-58.78</v>
      </c>
    </row>
    <row r="1293" spans="1:4" x14ac:dyDescent="0.3">
      <c r="A1293" t="s">
        <v>35</v>
      </c>
      <c r="B1293" t="s">
        <v>2048</v>
      </c>
      <c r="C1293">
        <v>463.1</v>
      </c>
      <c r="D1293">
        <v>-80.41</v>
      </c>
    </row>
    <row r="1294" spans="1:4" x14ac:dyDescent="0.3">
      <c r="A1294" t="s">
        <v>35</v>
      </c>
      <c r="B1294" t="s">
        <v>2049</v>
      </c>
      <c r="C1294">
        <v>322.19</v>
      </c>
      <c r="D1294">
        <v>-81.17</v>
      </c>
    </row>
    <row r="1295" spans="1:4" x14ac:dyDescent="0.3">
      <c r="A1295" t="s">
        <v>35</v>
      </c>
      <c r="B1295" t="s">
        <v>2051</v>
      </c>
      <c r="C1295">
        <v>207.57</v>
      </c>
      <c r="D1295">
        <v>-82.41</v>
      </c>
    </row>
    <row r="1296" spans="1:4" x14ac:dyDescent="0.3">
      <c r="A1296" t="s">
        <v>35</v>
      </c>
      <c r="B1296" t="s">
        <v>2066</v>
      </c>
      <c r="C1296">
        <v>2252.4299999999998</v>
      </c>
      <c r="D1296">
        <v>-119.12</v>
      </c>
    </row>
    <row r="1297" spans="1:4" x14ac:dyDescent="0.3">
      <c r="A1297" t="s">
        <v>35</v>
      </c>
      <c r="B1297" t="s">
        <v>2072</v>
      </c>
      <c r="C1297">
        <v>1363.06</v>
      </c>
      <c r="D1297">
        <v>-126.71</v>
      </c>
    </row>
    <row r="1298" spans="1:4" x14ac:dyDescent="0.3">
      <c r="A1298" t="s">
        <v>35</v>
      </c>
      <c r="B1298" t="s">
        <v>2088</v>
      </c>
      <c r="C1298">
        <v>206.99</v>
      </c>
      <c r="D1298">
        <v>-172.49</v>
      </c>
    </row>
    <row r="1299" spans="1:4" x14ac:dyDescent="0.3">
      <c r="A1299" t="s">
        <v>35</v>
      </c>
      <c r="B1299" t="s">
        <v>2105</v>
      </c>
      <c r="C1299">
        <v>1154.33</v>
      </c>
      <c r="D1299">
        <v>-212.15</v>
      </c>
    </row>
    <row r="1300" spans="1:4" x14ac:dyDescent="0.3">
      <c r="A1300" t="s">
        <v>35</v>
      </c>
      <c r="B1300" t="s">
        <v>2106</v>
      </c>
      <c r="C1300">
        <v>4820.95</v>
      </c>
      <c r="D1300">
        <v>-215.44</v>
      </c>
    </row>
    <row r="1301" spans="1:4" x14ac:dyDescent="0.3">
      <c r="A1301" t="s">
        <v>35</v>
      </c>
      <c r="B1301" t="s">
        <v>2127</v>
      </c>
      <c r="C1301">
        <v>341.99</v>
      </c>
      <c r="D1301">
        <v>-319.19</v>
      </c>
    </row>
    <row r="1302" spans="1:4" x14ac:dyDescent="0.3">
      <c r="A1302" t="s">
        <v>35</v>
      </c>
      <c r="B1302" t="s">
        <v>2135</v>
      </c>
      <c r="C1302">
        <v>1499.97</v>
      </c>
      <c r="D1302">
        <v>-374.99</v>
      </c>
    </row>
    <row r="1303" spans="1:4" x14ac:dyDescent="0.3">
      <c r="A1303" t="s">
        <v>35</v>
      </c>
      <c r="B1303" t="s">
        <v>2144</v>
      </c>
      <c r="C1303">
        <v>2844.3</v>
      </c>
      <c r="D1303">
        <v>-434.13</v>
      </c>
    </row>
    <row r="1304" spans="1:4" x14ac:dyDescent="0.3">
      <c r="A1304" t="s">
        <v>35</v>
      </c>
      <c r="B1304" t="s">
        <v>2157</v>
      </c>
      <c r="C1304">
        <v>5436.16</v>
      </c>
      <c r="D1304">
        <v>-474.74</v>
      </c>
    </row>
    <row r="1305" spans="1:4" x14ac:dyDescent="0.3">
      <c r="A1305" t="s">
        <v>35</v>
      </c>
      <c r="B1305" t="s">
        <v>2161</v>
      </c>
      <c r="C1305">
        <v>723.51</v>
      </c>
      <c r="D1305">
        <v>-506.46</v>
      </c>
    </row>
    <row r="1306" spans="1:4" x14ac:dyDescent="0.3">
      <c r="A1306" t="s">
        <v>35</v>
      </c>
      <c r="B1306" t="s">
        <v>2169</v>
      </c>
      <c r="C1306">
        <v>1897.81</v>
      </c>
      <c r="D1306">
        <v>-612.94000000000005</v>
      </c>
    </row>
    <row r="1307" spans="1:4" x14ac:dyDescent="0.3">
      <c r="A1307" t="s">
        <v>35</v>
      </c>
      <c r="B1307" t="s">
        <v>2171</v>
      </c>
      <c r="C1307">
        <v>15610.97</v>
      </c>
      <c r="D1307">
        <v>-669.54</v>
      </c>
    </row>
    <row r="1308" spans="1:4" x14ac:dyDescent="0.3">
      <c r="A1308" t="s">
        <v>35</v>
      </c>
      <c r="B1308" t="s">
        <v>2174</v>
      </c>
      <c r="C1308">
        <v>2946.37</v>
      </c>
      <c r="D1308">
        <v>-767.74</v>
      </c>
    </row>
    <row r="1309" spans="1:4" x14ac:dyDescent="0.3">
      <c r="A1309" t="s">
        <v>35</v>
      </c>
      <c r="B1309" t="s">
        <v>2175</v>
      </c>
      <c r="C1309">
        <v>2330.65</v>
      </c>
      <c r="D1309">
        <v>-785.76</v>
      </c>
    </row>
    <row r="1310" spans="1:4" x14ac:dyDescent="0.3">
      <c r="A1310" t="s">
        <v>139</v>
      </c>
      <c r="B1310" t="s">
        <v>140</v>
      </c>
      <c r="C1310">
        <v>6109.87</v>
      </c>
      <c r="D1310">
        <v>1104.48</v>
      </c>
    </row>
    <row r="1311" spans="1:4" x14ac:dyDescent="0.3">
      <c r="A1311" t="s">
        <v>139</v>
      </c>
      <c r="B1311" t="s">
        <v>1572</v>
      </c>
      <c r="C1311">
        <v>699.9</v>
      </c>
      <c r="D1311">
        <v>17.5</v>
      </c>
    </row>
    <row r="1312" spans="1:4" x14ac:dyDescent="0.3">
      <c r="A1312" t="s">
        <v>139</v>
      </c>
      <c r="B1312" t="s">
        <v>1605</v>
      </c>
      <c r="C1312">
        <v>35.770000000000003</v>
      </c>
      <c r="D1312">
        <v>15.53</v>
      </c>
    </row>
    <row r="1313" spans="1:4" x14ac:dyDescent="0.3">
      <c r="A1313" t="s">
        <v>139</v>
      </c>
      <c r="B1313" t="s">
        <v>1619</v>
      </c>
      <c r="C1313">
        <v>815.86</v>
      </c>
      <c r="D1313">
        <v>15.08</v>
      </c>
    </row>
    <row r="1314" spans="1:4" x14ac:dyDescent="0.3">
      <c r="A1314" t="s">
        <v>139</v>
      </c>
      <c r="B1314" t="s">
        <v>1731</v>
      </c>
      <c r="C1314">
        <v>31.1</v>
      </c>
      <c r="D1314">
        <v>8.61</v>
      </c>
    </row>
    <row r="1315" spans="1:4" x14ac:dyDescent="0.3">
      <c r="A1315" t="s">
        <v>139</v>
      </c>
      <c r="B1315" t="s">
        <v>1775</v>
      </c>
      <c r="C1315">
        <v>110.59</v>
      </c>
      <c r="D1315">
        <v>6.03</v>
      </c>
    </row>
    <row r="1316" spans="1:4" x14ac:dyDescent="0.3">
      <c r="A1316" t="s">
        <v>139</v>
      </c>
      <c r="B1316" t="s">
        <v>1783</v>
      </c>
      <c r="C1316">
        <v>15.55</v>
      </c>
      <c r="D1316">
        <v>5.64</v>
      </c>
    </row>
    <row r="1317" spans="1:4" x14ac:dyDescent="0.3">
      <c r="A1317" t="s">
        <v>139</v>
      </c>
      <c r="B1317" t="s">
        <v>1863</v>
      </c>
      <c r="C1317">
        <v>2641.61</v>
      </c>
      <c r="D1317">
        <v>0</v>
      </c>
    </row>
    <row r="1318" spans="1:4" x14ac:dyDescent="0.3">
      <c r="A1318" t="s">
        <v>139</v>
      </c>
      <c r="B1318" t="s">
        <v>1894</v>
      </c>
      <c r="C1318">
        <v>33.479999999999997</v>
      </c>
      <c r="D1318">
        <v>-2.6</v>
      </c>
    </row>
    <row r="1319" spans="1:4" x14ac:dyDescent="0.3">
      <c r="A1319" t="s">
        <v>139</v>
      </c>
      <c r="B1319" t="s">
        <v>2041</v>
      </c>
      <c r="C1319">
        <v>664.83</v>
      </c>
      <c r="D1319">
        <v>-78.02</v>
      </c>
    </row>
    <row r="1320" spans="1:4" x14ac:dyDescent="0.3">
      <c r="A1320" t="s">
        <v>745</v>
      </c>
      <c r="B1320" t="s">
        <v>746</v>
      </c>
      <c r="C1320">
        <v>319.92</v>
      </c>
      <c r="D1320">
        <v>118.37</v>
      </c>
    </row>
    <row r="1321" spans="1:4" x14ac:dyDescent="0.3">
      <c r="A1321" t="s">
        <v>745</v>
      </c>
      <c r="B1321" t="s">
        <v>997</v>
      </c>
      <c r="C1321">
        <v>739.8</v>
      </c>
      <c r="D1321">
        <v>64.73</v>
      </c>
    </row>
    <row r="1322" spans="1:4" x14ac:dyDescent="0.3">
      <c r="A1322" t="s">
        <v>745</v>
      </c>
      <c r="B1322" t="s">
        <v>1502</v>
      </c>
      <c r="C1322">
        <v>51.12</v>
      </c>
      <c r="D1322">
        <v>21.96</v>
      </c>
    </row>
    <row r="1323" spans="1:4" x14ac:dyDescent="0.3">
      <c r="A1323" t="s">
        <v>745</v>
      </c>
      <c r="B1323" t="s">
        <v>1798</v>
      </c>
      <c r="C1323">
        <v>23.33</v>
      </c>
      <c r="D1323">
        <v>4.91</v>
      </c>
    </row>
    <row r="1324" spans="1:4" x14ac:dyDescent="0.3">
      <c r="A1324" t="s">
        <v>420</v>
      </c>
      <c r="B1324" t="s">
        <v>421</v>
      </c>
      <c r="C1324">
        <v>2041.04</v>
      </c>
      <c r="D1324">
        <v>317.49</v>
      </c>
    </row>
    <row r="1325" spans="1:4" x14ac:dyDescent="0.3">
      <c r="A1325" t="s">
        <v>420</v>
      </c>
      <c r="B1325" t="s">
        <v>768</v>
      </c>
      <c r="C1325">
        <v>3210.8</v>
      </c>
      <c r="D1325">
        <v>111.68</v>
      </c>
    </row>
    <row r="1326" spans="1:4" x14ac:dyDescent="0.3">
      <c r="A1326" t="s">
        <v>420</v>
      </c>
      <c r="B1326" t="s">
        <v>1092</v>
      </c>
      <c r="C1326">
        <v>137.38</v>
      </c>
      <c r="D1326">
        <v>53.14</v>
      </c>
    </row>
    <row r="1327" spans="1:4" x14ac:dyDescent="0.3">
      <c r="A1327" t="s">
        <v>420</v>
      </c>
      <c r="B1327" t="s">
        <v>1680</v>
      </c>
      <c r="C1327">
        <v>94.13</v>
      </c>
      <c r="D1327">
        <v>11.45</v>
      </c>
    </row>
    <row r="1328" spans="1:4" x14ac:dyDescent="0.3">
      <c r="A1328" t="s">
        <v>420</v>
      </c>
      <c r="B1328" t="s">
        <v>1821</v>
      </c>
      <c r="C1328">
        <v>13.62</v>
      </c>
      <c r="D1328">
        <v>3.57</v>
      </c>
    </row>
    <row r="1329" spans="1:4" x14ac:dyDescent="0.3">
      <c r="A1329" t="s">
        <v>420</v>
      </c>
      <c r="B1329" t="s">
        <v>1987</v>
      </c>
      <c r="C1329">
        <v>1570.08</v>
      </c>
      <c r="D1329">
        <v>-26.97</v>
      </c>
    </row>
    <row r="1330" spans="1:4" x14ac:dyDescent="0.3">
      <c r="A1330" t="s">
        <v>420</v>
      </c>
      <c r="B1330" t="s">
        <v>2109</v>
      </c>
      <c r="C1330">
        <v>2511.0500000000002</v>
      </c>
      <c r="D1330">
        <v>-218.35</v>
      </c>
    </row>
    <row r="1331" spans="1:4" x14ac:dyDescent="0.3">
      <c r="A1331" t="s">
        <v>420</v>
      </c>
      <c r="B1331" t="s">
        <v>2191</v>
      </c>
      <c r="C1331">
        <v>9544.73</v>
      </c>
      <c r="D1331">
        <v>-1934.4</v>
      </c>
    </row>
    <row r="1332" spans="1:4" x14ac:dyDescent="0.3">
      <c r="A1332" t="s">
        <v>2009</v>
      </c>
      <c r="B1332" t="s">
        <v>2010</v>
      </c>
      <c r="C1332">
        <v>284.10000000000002</v>
      </c>
      <c r="D1332">
        <v>-43.45</v>
      </c>
    </row>
    <row r="1333" spans="1:4" x14ac:dyDescent="0.3">
      <c r="A1333" t="s">
        <v>218</v>
      </c>
      <c r="B1333" t="s">
        <v>219</v>
      </c>
      <c r="C1333">
        <v>3051.3</v>
      </c>
      <c r="D1333">
        <v>697.44</v>
      </c>
    </row>
    <row r="1334" spans="1:4" x14ac:dyDescent="0.3">
      <c r="A1334" t="s">
        <v>218</v>
      </c>
      <c r="B1334" t="s">
        <v>279</v>
      </c>
      <c r="C1334">
        <v>1097.21</v>
      </c>
      <c r="D1334">
        <v>526.21</v>
      </c>
    </row>
    <row r="1335" spans="1:4" x14ac:dyDescent="0.3">
      <c r="A1335" t="s">
        <v>218</v>
      </c>
      <c r="B1335" t="s">
        <v>928</v>
      </c>
      <c r="C1335">
        <v>659.93</v>
      </c>
      <c r="D1335">
        <v>75.989999999999995</v>
      </c>
    </row>
    <row r="1336" spans="1:4" x14ac:dyDescent="0.3">
      <c r="A1336" t="s">
        <v>218</v>
      </c>
      <c r="B1336" t="s">
        <v>1636</v>
      </c>
      <c r="C1336">
        <v>406.78</v>
      </c>
      <c r="D1336">
        <v>14.3</v>
      </c>
    </row>
    <row r="1337" spans="1:4" x14ac:dyDescent="0.3">
      <c r="A1337" t="s">
        <v>218</v>
      </c>
      <c r="B1337" t="s">
        <v>1799</v>
      </c>
      <c r="C1337">
        <v>24.27</v>
      </c>
      <c r="D1337">
        <v>4.8499999999999996</v>
      </c>
    </row>
    <row r="1338" spans="1:4" x14ac:dyDescent="0.3">
      <c r="A1338" t="s">
        <v>1957</v>
      </c>
      <c r="B1338" t="s">
        <v>1958</v>
      </c>
      <c r="C1338">
        <v>467.92</v>
      </c>
      <c r="D1338">
        <v>-14.62</v>
      </c>
    </row>
    <row r="1339" spans="1:4" x14ac:dyDescent="0.3">
      <c r="A1339" t="s">
        <v>1349</v>
      </c>
      <c r="B1339" t="s">
        <v>1350</v>
      </c>
      <c r="C1339">
        <v>71.25</v>
      </c>
      <c r="D1339">
        <v>32.25</v>
      </c>
    </row>
    <row r="1340" spans="1:4" x14ac:dyDescent="0.3">
      <c r="A1340" t="s">
        <v>1972</v>
      </c>
      <c r="B1340" t="s">
        <v>1973</v>
      </c>
      <c r="C1340">
        <v>1426.89</v>
      </c>
      <c r="D1340">
        <v>-20.29</v>
      </c>
    </row>
    <row r="1341" spans="1:4" x14ac:dyDescent="0.3">
      <c r="A1341" t="s">
        <v>377</v>
      </c>
      <c r="B1341" t="s">
        <v>378</v>
      </c>
      <c r="C1341">
        <v>1221.81</v>
      </c>
      <c r="D1341">
        <v>376.94</v>
      </c>
    </row>
    <row r="1342" spans="1:4" x14ac:dyDescent="0.3">
      <c r="A1342" t="s">
        <v>377</v>
      </c>
      <c r="B1342" t="s">
        <v>711</v>
      </c>
      <c r="C1342">
        <v>573.65</v>
      </c>
      <c r="D1342">
        <v>126.81</v>
      </c>
    </row>
    <row r="1343" spans="1:4" x14ac:dyDescent="0.3">
      <c r="A1343" t="s">
        <v>377</v>
      </c>
      <c r="B1343" t="s">
        <v>845</v>
      </c>
      <c r="C1343">
        <v>359.7</v>
      </c>
      <c r="D1343">
        <v>91.12</v>
      </c>
    </row>
    <row r="1344" spans="1:4" x14ac:dyDescent="0.3">
      <c r="A1344" t="s">
        <v>377</v>
      </c>
      <c r="B1344" t="s">
        <v>1154</v>
      </c>
      <c r="C1344">
        <v>729.23</v>
      </c>
      <c r="D1344">
        <v>48.62</v>
      </c>
    </row>
    <row r="1345" spans="1:4" x14ac:dyDescent="0.3">
      <c r="A1345" t="s">
        <v>377</v>
      </c>
      <c r="B1345" t="s">
        <v>2115</v>
      </c>
      <c r="C1345">
        <v>179.99</v>
      </c>
      <c r="D1345">
        <v>-251.99</v>
      </c>
    </row>
    <row r="1346" spans="1:4" x14ac:dyDescent="0.3">
      <c r="A1346" t="s">
        <v>48</v>
      </c>
      <c r="B1346" t="s">
        <v>49</v>
      </c>
      <c r="C1346">
        <v>9367.2900000000009</v>
      </c>
      <c r="D1346">
        <v>3696.28</v>
      </c>
    </row>
    <row r="1347" spans="1:4" x14ac:dyDescent="0.3">
      <c r="A1347" t="s">
        <v>48</v>
      </c>
      <c r="B1347" t="s">
        <v>298</v>
      </c>
      <c r="C1347">
        <v>3150.58</v>
      </c>
      <c r="D1347">
        <v>499.85</v>
      </c>
    </row>
    <row r="1348" spans="1:4" x14ac:dyDescent="0.3">
      <c r="A1348" t="s">
        <v>48</v>
      </c>
      <c r="B1348" t="s">
        <v>1031</v>
      </c>
      <c r="C1348">
        <v>341.42</v>
      </c>
      <c r="D1348">
        <v>59.55</v>
      </c>
    </row>
    <row r="1349" spans="1:4" x14ac:dyDescent="0.3">
      <c r="A1349" t="s">
        <v>48</v>
      </c>
      <c r="B1349" t="s">
        <v>2028</v>
      </c>
      <c r="C1349">
        <v>413.32</v>
      </c>
      <c r="D1349">
        <v>-58.82</v>
      </c>
    </row>
    <row r="1350" spans="1:4" x14ac:dyDescent="0.3">
      <c r="A1350" t="s">
        <v>548</v>
      </c>
      <c r="B1350" t="s">
        <v>549</v>
      </c>
      <c r="C1350">
        <v>3447.84</v>
      </c>
      <c r="D1350">
        <v>206.87</v>
      </c>
    </row>
    <row r="1351" spans="1:4" x14ac:dyDescent="0.3">
      <c r="A1351" t="s">
        <v>548</v>
      </c>
      <c r="B1351" t="s">
        <v>1415</v>
      </c>
      <c r="C1351">
        <v>97.68</v>
      </c>
      <c r="D1351">
        <v>27.35</v>
      </c>
    </row>
    <row r="1352" spans="1:4" x14ac:dyDescent="0.3">
      <c r="A1352" t="s">
        <v>1867</v>
      </c>
      <c r="B1352" t="s">
        <v>1868</v>
      </c>
      <c r="C1352">
        <v>314.55</v>
      </c>
      <c r="D1352">
        <v>0</v>
      </c>
    </row>
    <row r="1353" spans="1:4" x14ac:dyDescent="0.3">
      <c r="A1353" t="s">
        <v>1867</v>
      </c>
      <c r="B1353" t="s">
        <v>1927</v>
      </c>
      <c r="C1353">
        <v>117.74</v>
      </c>
      <c r="D1353">
        <v>-8.5500000000000007</v>
      </c>
    </row>
    <row r="1354" spans="1:4" x14ac:dyDescent="0.3">
      <c r="A1354" t="s">
        <v>1867</v>
      </c>
      <c r="B1354" t="s">
        <v>2180</v>
      </c>
      <c r="C1354">
        <v>703.71</v>
      </c>
      <c r="D1354">
        <v>-938.28</v>
      </c>
    </row>
    <row r="1355" spans="1:4" x14ac:dyDescent="0.3">
      <c r="A1355" t="s">
        <v>542</v>
      </c>
      <c r="B1355" t="s">
        <v>543</v>
      </c>
      <c r="C1355">
        <v>703.57</v>
      </c>
      <c r="D1355">
        <v>208.56</v>
      </c>
    </row>
    <row r="1356" spans="1:4" x14ac:dyDescent="0.3">
      <c r="A1356" t="s">
        <v>542</v>
      </c>
      <c r="B1356" t="s">
        <v>916</v>
      </c>
      <c r="C1356">
        <v>186.06</v>
      </c>
      <c r="D1356">
        <v>78.16</v>
      </c>
    </row>
    <row r="1357" spans="1:4" x14ac:dyDescent="0.3">
      <c r="A1357" t="s">
        <v>406</v>
      </c>
      <c r="B1357" t="s">
        <v>407</v>
      </c>
      <c r="C1357">
        <v>3657.38</v>
      </c>
      <c r="D1357">
        <v>339.19</v>
      </c>
    </row>
    <row r="1358" spans="1:4" x14ac:dyDescent="0.3">
      <c r="A1358" t="s">
        <v>406</v>
      </c>
      <c r="B1358" t="s">
        <v>451</v>
      </c>
      <c r="C1358">
        <v>773.74</v>
      </c>
      <c r="D1358">
        <v>286.7</v>
      </c>
    </row>
    <row r="1359" spans="1:4" x14ac:dyDescent="0.3">
      <c r="A1359" t="s">
        <v>406</v>
      </c>
      <c r="B1359" t="s">
        <v>908</v>
      </c>
      <c r="C1359">
        <v>709.92</v>
      </c>
      <c r="D1359">
        <v>79.87</v>
      </c>
    </row>
    <row r="1360" spans="1:4" x14ac:dyDescent="0.3">
      <c r="A1360" t="s">
        <v>406</v>
      </c>
      <c r="B1360" t="s">
        <v>1445</v>
      </c>
      <c r="C1360">
        <v>60.11</v>
      </c>
      <c r="D1360">
        <v>24.74</v>
      </c>
    </row>
    <row r="1361" spans="1:4" x14ac:dyDescent="0.3">
      <c r="A1361" t="s">
        <v>406</v>
      </c>
      <c r="B1361" t="s">
        <v>1631</v>
      </c>
      <c r="C1361">
        <v>45.4</v>
      </c>
      <c r="D1361">
        <v>14.55</v>
      </c>
    </row>
    <row r="1362" spans="1:4" x14ac:dyDescent="0.3">
      <c r="A1362" t="s">
        <v>406</v>
      </c>
      <c r="B1362" t="s">
        <v>1937</v>
      </c>
      <c r="C1362">
        <v>625.51</v>
      </c>
      <c r="D1362">
        <v>-10.88</v>
      </c>
    </row>
    <row r="1363" spans="1:4" x14ac:dyDescent="0.3">
      <c r="A1363" t="s">
        <v>1728</v>
      </c>
      <c r="B1363" t="s">
        <v>1729</v>
      </c>
      <c r="C1363">
        <v>24.19</v>
      </c>
      <c r="D1363">
        <v>8.64</v>
      </c>
    </row>
    <row r="1364" spans="1:4" x14ac:dyDescent="0.3">
      <c r="A1364" t="s">
        <v>1314</v>
      </c>
      <c r="B1364" t="s">
        <v>1315</v>
      </c>
      <c r="C1364">
        <v>100.39</v>
      </c>
      <c r="D1364">
        <v>35.299999999999997</v>
      </c>
    </row>
    <row r="1365" spans="1:4" x14ac:dyDescent="0.3">
      <c r="A1365" t="s">
        <v>1314</v>
      </c>
      <c r="B1365" t="s">
        <v>1932</v>
      </c>
      <c r="C1365">
        <v>858.86</v>
      </c>
      <c r="D1365">
        <v>-9.94</v>
      </c>
    </row>
    <row r="1366" spans="1:4" x14ac:dyDescent="0.3">
      <c r="A1366" t="s">
        <v>186</v>
      </c>
      <c r="B1366" t="s">
        <v>187</v>
      </c>
      <c r="C1366">
        <v>7539.71</v>
      </c>
      <c r="D1366">
        <v>780.33</v>
      </c>
    </row>
    <row r="1367" spans="1:4" x14ac:dyDescent="0.3">
      <c r="A1367" t="s">
        <v>341</v>
      </c>
      <c r="B1367" t="s">
        <v>342</v>
      </c>
      <c r="C1367">
        <v>3613.74</v>
      </c>
      <c r="D1367">
        <v>425.31</v>
      </c>
    </row>
    <row r="1368" spans="1:4" x14ac:dyDescent="0.3">
      <c r="A1368" t="s">
        <v>841</v>
      </c>
      <c r="B1368" t="s">
        <v>842</v>
      </c>
      <c r="C1368">
        <v>342.55</v>
      </c>
      <c r="D1368">
        <v>92.49</v>
      </c>
    </row>
    <row r="1369" spans="1:4" x14ac:dyDescent="0.3">
      <c r="A1369" t="s">
        <v>249</v>
      </c>
      <c r="B1369" t="s">
        <v>250</v>
      </c>
      <c r="C1369">
        <v>3590.03</v>
      </c>
      <c r="D1369">
        <v>576.9</v>
      </c>
    </row>
    <row r="1370" spans="1:4" x14ac:dyDescent="0.3">
      <c r="A1370" t="s">
        <v>249</v>
      </c>
      <c r="B1370" t="s">
        <v>604</v>
      </c>
      <c r="C1370">
        <v>422.75</v>
      </c>
      <c r="D1370">
        <v>172.94</v>
      </c>
    </row>
    <row r="1371" spans="1:4" x14ac:dyDescent="0.3">
      <c r="A1371" t="s">
        <v>249</v>
      </c>
      <c r="B1371" t="s">
        <v>667</v>
      </c>
      <c r="C1371">
        <v>1945.26</v>
      </c>
      <c r="D1371">
        <v>145.21</v>
      </c>
    </row>
    <row r="1372" spans="1:4" x14ac:dyDescent="0.3">
      <c r="A1372" t="s">
        <v>249</v>
      </c>
      <c r="B1372" t="s">
        <v>1646</v>
      </c>
      <c r="C1372">
        <v>69.77</v>
      </c>
      <c r="D1372">
        <v>13.76</v>
      </c>
    </row>
    <row r="1373" spans="1:4" x14ac:dyDescent="0.3">
      <c r="A1373" t="s">
        <v>597</v>
      </c>
      <c r="B1373" t="s">
        <v>598</v>
      </c>
      <c r="C1373">
        <v>1665.8</v>
      </c>
      <c r="D1373">
        <v>178.48</v>
      </c>
    </row>
    <row r="1374" spans="1:4" x14ac:dyDescent="0.3">
      <c r="A1374" t="s">
        <v>597</v>
      </c>
      <c r="B1374" t="s">
        <v>1902</v>
      </c>
      <c r="C1374">
        <v>19.78</v>
      </c>
      <c r="D1374">
        <v>-3.77</v>
      </c>
    </row>
    <row r="1375" spans="1:4" x14ac:dyDescent="0.3">
      <c r="A1375" t="s">
        <v>1677</v>
      </c>
      <c r="B1375" t="s">
        <v>1678</v>
      </c>
      <c r="C1375">
        <v>81.739999999999995</v>
      </c>
      <c r="D1375">
        <v>11.73</v>
      </c>
    </row>
    <row r="1376" spans="1:4" x14ac:dyDescent="0.3">
      <c r="A1376" t="s">
        <v>1677</v>
      </c>
      <c r="B1376" t="s">
        <v>1801</v>
      </c>
      <c r="C1376">
        <v>518.94000000000005</v>
      </c>
      <c r="D1376">
        <v>4.6900000000000004</v>
      </c>
    </row>
    <row r="1377" spans="1:4" x14ac:dyDescent="0.3">
      <c r="A1377" t="s">
        <v>115</v>
      </c>
      <c r="B1377" t="s">
        <v>116</v>
      </c>
      <c r="C1377">
        <v>5410.42</v>
      </c>
      <c r="D1377">
        <v>1287.92</v>
      </c>
    </row>
    <row r="1378" spans="1:4" x14ac:dyDescent="0.3">
      <c r="A1378" t="s">
        <v>115</v>
      </c>
      <c r="B1378" t="s">
        <v>173</v>
      </c>
      <c r="C1378">
        <v>1887.3</v>
      </c>
      <c r="D1378">
        <v>851.38</v>
      </c>
    </row>
    <row r="1379" spans="1:4" x14ac:dyDescent="0.3">
      <c r="A1379" t="s">
        <v>115</v>
      </c>
      <c r="B1379" t="s">
        <v>609</v>
      </c>
      <c r="C1379">
        <v>929.48</v>
      </c>
      <c r="D1379">
        <v>169.26</v>
      </c>
    </row>
    <row r="1380" spans="1:4" x14ac:dyDescent="0.3">
      <c r="A1380" t="s">
        <v>115</v>
      </c>
      <c r="B1380" t="s">
        <v>643</v>
      </c>
      <c r="C1380">
        <v>1842.27</v>
      </c>
      <c r="D1380">
        <v>155.37</v>
      </c>
    </row>
    <row r="1381" spans="1:4" x14ac:dyDescent="0.3">
      <c r="A1381" t="s">
        <v>115</v>
      </c>
      <c r="B1381" t="s">
        <v>655</v>
      </c>
      <c r="C1381">
        <v>469.4</v>
      </c>
      <c r="D1381">
        <v>150.37</v>
      </c>
    </row>
    <row r="1382" spans="1:4" x14ac:dyDescent="0.3">
      <c r="A1382" t="s">
        <v>115</v>
      </c>
      <c r="B1382" t="s">
        <v>682</v>
      </c>
      <c r="C1382">
        <v>294.72000000000003</v>
      </c>
      <c r="D1382">
        <v>138.52000000000001</v>
      </c>
    </row>
    <row r="1383" spans="1:4" x14ac:dyDescent="0.3">
      <c r="A1383" t="s">
        <v>115</v>
      </c>
      <c r="B1383" t="s">
        <v>727</v>
      </c>
      <c r="C1383">
        <v>516.22</v>
      </c>
      <c r="D1383">
        <v>122.84</v>
      </c>
    </row>
    <row r="1384" spans="1:4" x14ac:dyDescent="0.3">
      <c r="A1384" t="s">
        <v>115</v>
      </c>
      <c r="B1384" t="s">
        <v>729</v>
      </c>
      <c r="C1384">
        <v>453.42</v>
      </c>
      <c r="D1384">
        <v>122.42</v>
      </c>
    </row>
    <row r="1385" spans="1:4" x14ac:dyDescent="0.3">
      <c r="A1385" t="s">
        <v>115</v>
      </c>
      <c r="B1385" t="s">
        <v>796</v>
      </c>
      <c r="C1385">
        <v>390.58</v>
      </c>
      <c r="D1385">
        <v>104.81</v>
      </c>
    </row>
    <row r="1386" spans="1:4" x14ac:dyDescent="0.3">
      <c r="A1386" t="s">
        <v>115</v>
      </c>
      <c r="B1386" t="s">
        <v>839</v>
      </c>
      <c r="C1386">
        <v>368.46</v>
      </c>
      <c r="D1386">
        <v>93.16</v>
      </c>
    </row>
    <row r="1387" spans="1:4" x14ac:dyDescent="0.3">
      <c r="A1387" t="s">
        <v>115</v>
      </c>
      <c r="B1387" t="s">
        <v>895</v>
      </c>
      <c r="C1387">
        <v>198.46</v>
      </c>
      <c r="D1387">
        <v>83.23</v>
      </c>
    </row>
    <row r="1388" spans="1:4" x14ac:dyDescent="0.3">
      <c r="A1388" t="s">
        <v>115</v>
      </c>
      <c r="B1388" t="s">
        <v>1142</v>
      </c>
      <c r="C1388">
        <v>176.78</v>
      </c>
      <c r="D1388">
        <v>49.38</v>
      </c>
    </row>
    <row r="1389" spans="1:4" x14ac:dyDescent="0.3">
      <c r="A1389" t="s">
        <v>115</v>
      </c>
      <c r="B1389" t="s">
        <v>1155</v>
      </c>
      <c r="C1389">
        <v>121.39</v>
      </c>
      <c r="D1389">
        <v>48.56</v>
      </c>
    </row>
    <row r="1390" spans="1:4" x14ac:dyDescent="0.3">
      <c r="A1390" t="s">
        <v>115</v>
      </c>
      <c r="B1390" t="s">
        <v>1303</v>
      </c>
      <c r="C1390">
        <v>72.8</v>
      </c>
      <c r="D1390">
        <v>36.4</v>
      </c>
    </row>
    <row r="1391" spans="1:4" x14ac:dyDescent="0.3">
      <c r="A1391" t="s">
        <v>115</v>
      </c>
      <c r="B1391" t="s">
        <v>1331</v>
      </c>
      <c r="C1391">
        <v>75.7</v>
      </c>
      <c r="D1391">
        <v>33.47</v>
      </c>
    </row>
    <row r="1392" spans="1:4" x14ac:dyDescent="0.3">
      <c r="A1392" t="s">
        <v>115</v>
      </c>
      <c r="B1392" t="s">
        <v>1360</v>
      </c>
      <c r="C1392">
        <v>65.52</v>
      </c>
      <c r="D1392">
        <v>31.45</v>
      </c>
    </row>
    <row r="1393" spans="1:4" x14ac:dyDescent="0.3">
      <c r="A1393" t="s">
        <v>115</v>
      </c>
      <c r="B1393" t="s">
        <v>1362</v>
      </c>
      <c r="C1393">
        <v>72.849999999999994</v>
      </c>
      <c r="D1393">
        <v>31.4</v>
      </c>
    </row>
    <row r="1394" spans="1:4" x14ac:dyDescent="0.3">
      <c r="A1394" t="s">
        <v>115</v>
      </c>
      <c r="B1394" t="s">
        <v>1600</v>
      </c>
      <c r="C1394">
        <v>62.32</v>
      </c>
      <c r="D1394">
        <v>15.74</v>
      </c>
    </row>
    <row r="1395" spans="1:4" x14ac:dyDescent="0.3">
      <c r="A1395" t="s">
        <v>115</v>
      </c>
      <c r="B1395" t="s">
        <v>1601</v>
      </c>
      <c r="C1395">
        <v>38.14</v>
      </c>
      <c r="D1395">
        <v>15.66</v>
      </c>
    </row>
    <row r="1396" spans="1:4" x14ac:dyDescent="0.3">
      <c r="A1396" t="s">
        <v>115</v>
      </c>
      <c r="B1396" t="s">
        <v>1975</v>
      </c>
      <c r="C1396">
        <v>520.08000000000004</v>
      </c>
      <c r="D1396">
        <v>-20.49</v>
      </c>
    </row>
    <row r="1397" spans="1:4" x14ac:dyDescent="0.3">
      <c r="A1397" t="s">
        <v>115</v>
      </c>
      <c r="B1397" t="s">
        <v>2078</v>
      </c>
      <c r="C1397">
        <v>922.74</v>
      </c>
      <c r="D1397">
        <v>-133.44</v>
      </c>
    </row>
    <row r="1398" spans="1:4" x14ac:dyDescent="0.3">
      <c r="A1398" t="s">
        <v>589</v>
      </c>
      <c r="B1398" t="s">
        <v>590</v>
      </c>
      <c r="C1398">
        <v>503.28</v>
      </c>
      <c r="D1398">
        <v>181.18</v>
      </c>
    </row>
    <row r="1399" spans="1:4" x14ac:dyDescent="0.3">
      <c r="A1399" t="s">
        <v>589</v>
      </c>
      <c r="B1399" t="s">
        <v>1199</v>
      </c>
      <c r="C1399">
        <v>665.68</v>
      </c>
      <c r="D1399">
        <v>43.71</v>
      </c>
    </row>
    <row r="1400" spans="1:4" x14ac:dyDescent="0.3">
      <c r="A1400" t="s">
        <v>589</v>
      </c>
      <c r="B1400" t="s">
        <v>1437</v>
      </c>
      <c r="C1400">
        <v>56.21</v>
      </c>
      <c r="D1400">
        <v>25.71</v>
      </c>
    </row>
    <row r="1401" spans="1:4" x14ac:dyDescent="0.3">
      <c r="A1401" t="s">
        <v>589</v>
      </c>
      <c r="B1401" t="s">
        <v>1499</v>
      </c>
      <c r="C1401">
        <v>49.25</v>
      </c>
      <c r="D1401">
        <v>22.29</v>
      </c>
    </row>
    <row r="1402" spans="1:4" x14ac:dyDescent="0.3">
      <c r="A1402" t="s">
        <v>589</v>
      </c>
      <c r="B1402" t="s">
        <v>1704</v>
      </c>
      <c r="C1402">
        <v>65.599999999999994</v>
      </c>
      <c r="D1402">
        <v>9.7100000000000009</v>
      </c>
    </row>
    <row r="1403" spans="1:4" x14ac:dyDescent="0.3">
      <c r="A1403" t="s">
        <v>192</v>
      </c>
      <c r="B1403" t="s">
        <v>193</v>
      </c>
      <c r="C1403">
        <v>19024.5</v>
      </c>
      <c r="D1403">
        <v>760.98</v>
      </c>
    </row>
    <row r="1404" spans="1:4" x14ac:dyDescent="0.3">
      <c r="A1404" t="s">
        <v>192</v>
      </c>
      <c r="B1404" t="s">
        <v>582</v>
      </c>
      <c r="C1404">
        <v>937.46</v>
      </c>
      <c r="D1404">
        <v>185.72</v>
      </c>
    </row>
    <row r="1405" spans="1:4" x14ac:dyDescent="0.3">
      <c r="A1405" t="s">
        <v>192</v>
      </c>
      <c r="B1405" t="s">
        <v>1153</v>
      </c>
      <c r="C1405">
        <v>149.63</v>
      </c>
      <c r="D1405">
        <v>48.63</v>
      </c>
    </row>
    <row r="1406" spans="1:4" x14ac:dyDescent="0.3">
      <c r="A1406" t="s">
        <v>192</v>
      </c>
      <c r="B1406" t="s">
        <v>1172</v>
      </c>
      <c r="C1406">
        <v>97.2</v>
      </c>
      <c r="D1406">
        <v>46.66</v>
      </c>
    </row>
    <row r="1407" spans="1:4" x14ac:dyDescent="0.3">
      <c r="A1407" t="s">
        <v>192</v>
      </c>
      <c r="B1407" t="s">
        <v>1548</v>
      </c>
      <c r="C1407">
        <v>50.92</v>
      </c>
      <c r="D1407">
        <v>19.04</v>
      </c>
    </row>
    <row r="1408" spans="1:4" x14ac:dyDescent="0.3">
      <c r="A1408" t="s">
        <v>192</v>
      </c>
      <c r="B1408" t="s">
        <v>1603</v>
      </c>
      <c r="C1408">
        <v>45.51</v>
      </c>
      <c r="D1408">
        <v>15.56</v>
      </c>
    </row>
    <row r="1409" spans="1:4" x14ac:dyDescent="0.3">
      <c r="A1409" t="s">
        <v>192</v>
      </c>
      <c r="B1409" t="s">
        <v>1608</v>
      </c>
      <c r="C1409">
        <v>96.03</v>
      </c>
      <c r="D1409">
        <v>15.36</v>
      </c>
    </row>
    <row r="1410" spans="1:4" x14ac:dyDescent="0.3">
      <c r="A1410" t="s">
        <v>192</v>
      </c>
      <c r="B1410" t="s">
        <v>1782</v>
      </c>
      <c r="C1410">
        <v>11.56</v>
      </c>
      <c r="D1410">
        <v>5.66</v>
      </c>
    </row>
    <row r="1411" spans="1:4" x14ac:dyDescent="0.3">
      <c r="A1411" t="s">
        <v>1530</v>
      </c>
      <c r="B1411" t="s">
        <v>1531</v>
      </c>
      <c r="C1411">
        <v>87.69</v>
      </c>
      <c r="D1411">
        <v>20.54</v>
      </c>
    </row>
    <row r="1412" spans="1:4" x14ac:dyDescent="0.3">
      <c r="A1412" t="s">
        <v>669</v>
      </c>
      <c r="B1412" t="s">
        <v>670</v>
      </c>
      <c r="C1412">
        <v>1439.97</v>
      </c>
      <c r="D1412">
        <v>144</v>
      </c>
    </row>
    <row r="1413" spans="1:4" x14ac:dyDescent="0.3">
      <c r="A1413" t="s">
        <v>669</v>
      </c>
      <c r="B1413" t="s">
        <v>2181</v>
      </c>
      <c r="C1413">
        <v>5634.9</v>
      </c>
      <c r="D1413">
        <v>-964.19</v>
      </c>
    </row>
    <row r="1414" spans="1:4" x14ac:dyDescent="0.3">
      <c r="A1414" t="s">
        <v>1280</v>
      </c>
      <c r="B1414" t="s">
        <v>1281</v>
      </c>
      <c r="C1414">
        <v>239.47</v>
      </c>
      <c r="D1414">
        <v>37.82</v>
      </c>
    </row>
    <row r="1415" spans="1:4" x14ac:dyDescent="0.3">
      <c r="A1415" t="s">
        <v>1717</v>
      </c>
      <c r="B1415" t="s">
        <v>1718</v>
      </c>
      <c r="C1415">
        <v>34.58</v>
      </c>
      <c r="D1415">
        <v>8.99</v>
      </c>
    </row>
    <row r="1416" spans="1:4" x14ac:dyDescent="0.3">
      <c r="A1416" t="s">
        <v>181</v>
      </c>
      <c r="B1416" t="s">
        <v>182</v>
      </c>
      <c r="C1416">
        <v>1712.99</v>
      </c>
      <c r="D1416">
        <v>799.39</v>
      </c>
    </row>
    <row r="1417" spans="1:4" x14ac:dyDescent="0.3">
      <c r="A1417" t="s">
        <v>181</v>
      </c>
      <c r="B1417" t="s">
        <v>203</v>
      </c>
      <c r="C1417">
        <v>4389.25</v>
      </c>
      <c r="D1417">
        <v>729.06</v>
      </c>
    </row>
    <row r="1418" spans="1:4" x14ac:dyDescent="0.3">
      <c r="A1418" t="s">
        <v>181</v>
      </c>
      <c r="B1418" t="s">
        <v>278</v>
      </c>
      <c r="C1418">
        <v>1409.53</v>
      </c>
      <c r="D1418">
        <v>536.22</v>
      </c>
    </row>
    <row r="1419" spans="1:4" x14ac:dyDescent="0.3">
      <c r="A1419" t="s">
        <v>181</v>
      </c>
      <c r="B1419" t="s">
        <v>557</v>
      </c>
      <c r="C1419">
        <v>1583.8</v>
      </c>
      <c r="D1419">
        <v>201.57</v>
      </c>
    </row>
    <row r="1420" spans="1:4" x14ac:dyDescent="0.3">
      <c r="A1420" t="s">
        <v>181</v>
      </c>
      <c r="B1420" t="s">
        <v>926</v>
      </c>
      <c r="C1420">
        <v>171.07</v>
      </c>
      <c r="D1420">
        <v>76.72</v>
      </c>
    </row>
    <row r="1421" spans="1:4" x14ac:dyDescent="0.3">
      <c r="A1421" t="s">
        <v>181</v>
      </c>
      <c r="B1421" t="s">
        <v>1176</v>
      </c>
      <c r="C1421">
        <v>110.16</v>
      </c>
      <c r="D1421">
        <v>46.14</v>
      </c>
    </row>
    <row r="1422" spans="1:4" x14ac:dyDescent="0.3">
      <c r="A1422" t="s">
        <v>181</v>
      </c>
      <c r="B1422" t="s">
        <v>1484</v>
      </c>
      <c r="C1422">
        <v>50.23</v>
      </c>
      <c r="D1422">
        <v>22.78</v>
      </c>
    </row>
    <row r="1423" spans="1:4" x14ac:dyDescent="0.3">
      <c r="A1423" t="s">
        <v>1388</v>
      </c>
      <c r="B1423" t="s">
        <v>1389</v>
      </c>
      <c r="C1423">
        <v>76.09</v>
      </c>
      <c r="D1423">
        <v>29.54</v>
      </c>
    </row>
    <row r="1424" spans="1:4" x14ac:dyDescent="0.3">
      <c r="A1424" t="s">
        <v>2061</v>
      </c>
      <c r="B1424" t="s">
        <v>2062</v>
      </c>
      <c r="C1424">
        <v>1689.97</v>
      </c>
      <c r="D1424">
        <v>-114.68</v>
      </c>
    </row>
    <row r="1425" spans="1:4" x14ac:dyDescent="0.3">
      <c r="A1425" t="s">
        <v>1406</v>
      </c>
      <c r="B1425" t="s">
        <v>1407</v>
      </c>
      <c r="C1425">
        <v>69.36</v>
      </c>
      <c r="D1425">
        <v>28.09</v>
      </c>
    </row>
    <row r="1426" spans="1:4" x14ac:dyDescent="0.3">
      <c r="A1426" t="s">
        <v>460</v>
      </c>
      <c r="B1426" t="s">
        <v>461</v>
      </c>
      <c r="C1426">
        <v>718.65</v>
      </c>
      <c r="D1426">
        <v>280.27</v>
      </c>
    </row>
    <row r="1427" spans="1:4" x14ac:dyDescent="0.3">
      <c r="A1427" t="s">
        <v>423</v>
      </c>
      <c r="B1427" t="s">
        <v>424</v>
      </c>
      <c r="C1427">
        <v>2759.06</v>
      </c>
      <c r="D1427">
        <v>314.77</v>
      </c>
    </row>
    <row r="1428" spans="1:4" x14ac:dyDescent="0.3">
      <c r="A1428" t="s">
        <v>423</v>
      </c>
      <c r="B1428" t="s">
        <v>429</v>
      </c>
      <c r="C1428">
        <v>822.74</v>
      </c>
      <c r="D1428">
        <v>311.77</v>
      </c>
    </row>
    <row r="1429" spans="1:4" x14ac:dyDescent="0.3">
      <c r="A1429" t="s">
        <v>423</v>
      </c>
      <c r="B1429" t="s">
        <v>540</v>
      </c>
      <c r="C1429">
        <v>653.98</v>
      </c>
      <c r="D1429">
        <v>210.86</v>
      </c>
    </row>
    <row r="1430" spans="1:4" x14ac:dyDescent="0.3">
      <c r="A1430" t="s">
        <v>423</v>
      </c>
      <c r="B1430" t="s">
        <v>612</v>
      </c>
      <c r="C1430">
        <v>1339.1</v>
      </c>
      <c r="D1430">
        <v>167.39</v>
      </c>
    </row>
    <row r="1431" spans="1:4" x14ac:dyDescent="0.3">
      <c r="A1431" t="s">
        <v>423</v>
      </c>
      <c r="B1431" t="s">
        <v>1202</v>
      </c>
      <c r="C1431">
        <v>124.42</v>
      </c>
      <c r="D1431">
        <v>43.55</v>
      </c>
    </row>
    <row r="1432" spans="1:4" x14ac:dyDescent="0.3">
      <c r="A1432" t="s">
        <v>423</v>
      </c>
      <c r="B1432" t="s">
        <v>1915</v>
      </c>
      <c r="C1432">
        <v>143.93</v>
      </c>
      <c r="D1432">
        <v>-6</v>
      </c>
    </row>
    <row r="1433" spans="1:4" x14ac:dyDescent="0.3">
      <c r="A1433" t="s">
        <v>571</v>
      </c>
      <c r="B1433" t="s">
        <v>572</v>
      </c>
      <c r="C1433">
        <v>491.68</v>
      </c>
      <c r="D1433">
        <v>195.35</v>
      </c>
    </row>
    <row r="1434" spans="1:4" x14ac:dyDescent="0.3">
      <c r="A1434" t="s">
        <v>571</v>
      </c>
      <c r="B1434" t="s">
        <v>765</v>
      </c>
      <c r="C1434">
        <v>844.67</v>
      </c>
      <c r="D1434">
        <v>112.18</v>
      </c>
    </row>
    <row r="1435" spans="1:4" x14ac:dyDescent="0.3">
      <c r="A1435" t="s">
        <v>571</v>
      </c>
      <c r="B1435" t="s">
        <v>1598</v>
      </c>
      <c r="C1435">
        <v>83.95</v>
      </c>
      <c r="D1435">
        <v>15.86</v>
      </c>
    </row>
    <row r="1436" spans="1:4" x14ac:dyDescent="0.3">
      <c r="A1436" t="s">
        <v>571</v>
      </c>
      <c r="B1436" t="s">
        <v>1870</v>
      </c>
      <c r="C1436">
        <v>62.95</v>
      </c>
      <c r="D1436">
        <v>-0.16</v>
      </c>
    </row>
    <row r="1437" spans="1:4" x14ac:dyDescent="0.3">
      <c r="A1437" t="s">
        <v>275</v>
      </c>
      <c r="B1437" t="s">
        <v>276</v>
      </c>
      <c r="C1437">
        <v>1231.6600000000001</v>
      </c>
      <c r="D1437">
        <v>539.27</v>
      </c>
    </row>
    <row r="1438" spans="1:4" x14ac:dyDescent="0.3">
      <c r="A1438" t="s">
        <v>275</v>
      </c>
      <c r="B1438" t="s">
        <v>863</v>
      </c>
      <c r="C1438">
        <v>237.54</v>
      </c>
      <c r="D1438">
        <v>89.53</v>
      </c>
    </row>
    <row r="1439" spans="1:4" x14ac:dyDescent="0.3">
      <c r="A1439" t="s">
        <v>122</v>
      </c>
      <c r="B1439" t="s">
        <v>123</v>
      </c>
      <c r="C1439">
        <v>12283.28</v>
      </c>
      <c r="D1439">
        <v>1257.52</v>
      </c>
    </row>
    <row r="1440" spans="1:4" x14ac:dyDescent="0.3">
      <c r="A1440" t="s">
        <v>122</v>
      </c>
      <c r="B1440" t="s">
        <v>305</v>
      </c>
      <c r="C1440">
        <v>6785.14</v>
      </c>
      <c r="D1440">
        <v>494.42</v>
      </c>
    </row>
    <row r="1441" spans="1:4" x14ac:dyDescent="0.3">
      <c r="A1441" t="s">
        <v>122</v>
      </c>
      <c r="B1441" t="s">
        <v>313</v>
      </c>
      <c r="C1441">
        <v>2929.98</v>
      </c>
      <c r="D1441">
        <v>482.59</v>
      </c>
    </row>
    <row r="1442" spans="1:4" x14ac:dyDescent="0.3">
      <c r="A1442" t="s">
        <v>122</v>
      </c>
      <c r="B1442" t="s">
        <v>314</v>
      </c>
      <c r="C1442">
        <v>2159.73</v>
      </c>
      <c r="D1442">
        <v>479.94</v>
      </c>
    </row>
    <row r="1443" spans="1:4" x14ac:dyDescent="0.3">
      <c r="A1443" t="s">
        <v>122</v>
      </c>
      <c r="B1443" t="s">
        <v>520</v>
      </c>
      <c r="C1443">
        <v>2883.28</v>
      </c>
      <c r="D1443">
        <v>229.59</v>
      </c>
    </row>
    <row r="1444" spans="1:4" x14ac:dyDescent="0.3">
      <c r="A1444" t="s">
        <v>122</v>
      </c>
      <c r="B1444" t="s">
        <v>762</v>
      </c>
      <c r="C1444">
        <v>459.1</v>
      </c>
      <c r="D1444">
        <v>112.91</v>
      </c>
    </row>
    <row r="1445" spans="1:4" x14ac:dyDescent="0.3">
      <c r="A1445" t="s">
        <v>122</v>
      </c>
      <c r="B1445" t="s">
        <v>974</v>
      </c>
      <c r="C1445">
        <v>232.38</v>
      </c>
      <c r="D1445">
        <v>68.14</v>
      </c>
    </row>
    <row r="1446" spans="1:4" x14ac:dyDescent="0.3">
      <c r="A1446" t="s">
        <v>122</v>
      </c>
      <c r="B1446" t="s">
        <v>1140</v>
      </c>
      <c r="C1446">
        <v>780.46</v>
      </c>
      <c r="D1446">
        <v>49.51</v>
      </c>
    </row>
    <row r="1447" spans="1:4" x14ac:dyDescent="0.3">
      <c r="A1447" t="s">
        <v>122</v>
      </c>
      <c r="B1447" t="s">
        <v>1146</v>
      </c>
      <c r="C1447">
        <v>124.61</v>
      </c>
      <c r="D1447">
        <v>49.1</v>
      </c>
    </row>
    <row r="1448" spans="1:4" x14ac:dyDescent="0.3">
      <c r="A1448" t="s">
        <v>122</v>
      </c>
      <c r="B1448" t="s">
        <v>1366</v>
      </c>
      <c r="C1448">
        <v>86.11</v>
      </c>
      <c r="D1448">
        <v>30.88</v>
      </c>
    </row>
    <row r="1449" spans="1:4" x14ac:dyDescent="0.3">
      <c r="A1449" t="s">
        <v>122</v>
      </c>
      <c r="B1449" t="s">
        <v>1393</v>
      </c>
      <c r="C1449">
        <v>191.35</v>
      </c>
      <c r="D1449">
        <v>29.42</v>
      </c>
    </row>
    <row r="1450" spans="1:4" x14ac:dyDescent="0.3">
      <c r="A1450" t="s">
        <v>122</v>
      </c>
      <c r="B1450" t="s">
        <v>1479</v>
      </c>
      <c r="C1450">
        <v>149.91999999999999</v>
      </c>
      <c r="D1450">
        <v>22.97</v>
      </c>
    </row>
    <row r="1451" spans="1:4" x14ac:dyDescent="0.3">
      <c r="A1451" t="s">
        <v>122</v>
      </c>
      <c r="B1451" t="s">
        <v>1622</v>
      </c>
      <c r="C1451">
        <v>779.87</v>
      </c>
      <c r="D1451">
        <v>15</v>
      </c>
    </row>
    <row r="1452" spans="1:4" x14ac:dyDescent="0.3">
      <c r="A1452" t="s">
        <v>122</v>
      </c>
      <c r="B1452" t="s">
        <v>1945</v>
      </c>
      <c r="C1452">
        <v>2298.11</v>
      </c>
      <c r="D1452">
        <v>-12.13</v>
      </c>
    </row>
    <row r="1453" spans="1:4" x14ac:dyDescent="0.3">
      <c r="A1453" t="s">
        <v>122</v>
      </c>
      <c r="B1453" t="s">
        <v>1947</v>
      </c>
      <c r="C1453">
        <v>71.930000000000007</v>
      </c>
      <c r="D1453">
        <v>-12.43</v>
      </c>
    </row>
    <row r="1454" spans="1:4" x14ac:dyDescent="0.3">
      <c r="A1454" t="s">
        <v>122</v>
      </c>
      <c r="B1454" t="s">
        <v>2030</v>
      </c>
      <c r="C1454">
        <v>5801.82</v>
      </c>
      <c r="D1454">
        <v>-66.83</v>
      </c>
    </row>
    <row r="1455" spans="1:4" x14ac:dyDescent="0.3">
      <c r="A1455" t="s">
        <v>122</v>
      </c>
      <c r="B1455" t="s">
        <v>2194</v>
      </c>
      <c r="C1455">
        <v>16829.900000000001</v>
      </c>
      <c r="D1455">
        <v>-4589.97</v>
      </c>
    </row>
    <row r="1456" spans="1:4" x14ac:dyDescent="0.3">
      <c r="A1456" t="s">
        <v>1249</v>
      </c>
      <c r="B1456" t="s">
        <v>1250</v>
      </c>
      <c r="C1456">
        <v>241.56</v>
      </c>
      <c r="D1456">
        <v>39.97</v>
      </c>
    </row>
    <row r="1457" spans="1:4" x14ac:dyDescent="0.3">
      <c r="A1457" t="s">
        <v>1249</v>
      </c>
      <c r="B1457" t="s">
        <v>1364</v>
      </c>
      <c r="C1457">
        <v>72.25</v>
      </c>
      <c r="D1457">
        <v>31.31</v>
      </c>
    </row>
    <row r="1458" spans="1:4" x14ac:dyDescent="0.3">
      <c r="A1458" t="s">
        <v>1249</v>
      </c>
      <c r="B1458" t="s">
        <v>1519</v>
      </c>
      <c r="C1458">
        <v>95.08</v>
      </c>
      <c r="D1458">
        <v>21.02</v>
      </c>
    </row>
    <row r="1459" spans="1:4" x14ac:dyDescent="0.3">
      <c r="A1459" t="s">
        <v>71</v>
      </c>
      <c r="B1459" t="s">
        <v>72</v>
      </c>
      <c r="C1459">
        <v>6399.87</v>
      </c>
      <c r="D1459">
        <v>2064.96</v>
      </c>
    </row>
    <row r="1460" spans="1:4" x14ac:dyDescent="0.3">
      <c r="A1460" t="s">
        <v>71</v>
      </c>
      <c r="B1460" t="s">
        <v>84</v>
      </c>
      <c r="C1460">
        <v>6014.73</v>
      </c>
      <c r="D1460">
        <v>1671.91</v>
      </c>
    </row>
    <row r="1461" spans="1:4" x14ac:dyDescent="0.3">
      <c r="A1461" t="s">
        <v>71</v>
      </c>
      <c r="B1461" t="s">
        <v>200</v>
      </c>
      <c r="C1461">
        <v>1782.45</v>
      </c>
      <c r="D1461">
        <v>746.53</v>
      </c>
    </row>
    <row r="1462" spans="1:4" x14ac:dyDescent="0.3">
      <c r="A1462" t="s">
        <v>71</v>
      </c>
      <c r="B1462" t="s">
        <v>452</v>
      </c>
      <c r="C1462">
        <v>623.74</v>
      </c>
      <c r="D1462">
        <v>285.64999999999998</v>
      </c>
    </row>
    <row r="1463" spans="1:4" x14ac:dyDescent="0.3">
      <c r="A1463" t="s">
        <v>71</v>
      </c>
      <c r="B1463" t="s">
        <v>462</v>
      </c>
      <c r="C1463">
        <v>603.54</v>
      </c>
      <c r="D1463">
        <v>279.74</v>
      </c>
    </row>
    <row r="1464" spans="1:4" x14ac:dyDescent="0.3">
      <c r="A1464" t="s">
        <v>71</v>
      </c>
      <c r="B1464" t="s">
        <v>580</v>
      </c>
      <c r="C1464">
        <v>536.04999999999995</v>
      </c>
      <c r="D1464">
        <v>189.57</v>
      </c>
    </row>
    <row r="1465" spans="1:4" x14ac:dyDescent="0.3">
      <c r="A1465" t="s">
        <v>71</v>
      </c>
      <c r="B1465" t="s">
        <v>651</v>
      </c>
      <c r="C1465">
        <v>1053.03</v>
      </c>
      <c r="D1465">
        <v>151.66</v>
      </c>
    </row>
    <row r="1466" spans="1:4" x14ac:dyDescent="0.3">
      <c r="A1466" t="s">
        <v>71</v>
      </c>
      <c r="B1466" t="s">
        <v>690</v>
      </c>
      <c r="C1466">
        <v>1070.3</v>
      </c>
      <c r="D1466">
        <v>133.79</v>
      </c>
    </row>
    <row r="1467" spans="1:4" x14ac:dyDescent="0.3">
      <c r="A1467" t="s">
        <v>71</v>
      </c>
      <c r="B1467" t="s">
        <v>787</v>
      </c>
      <c r="C1467">
        <v>466.29</v>
      </c>
      <c r="D1467">
        <v>107.07</v>
      </c>
    </row>
    <row r="1468" spans="1:4" x14ac:dyDescent="0.3">
      <c r="A1468" t="s">
        <v>71</v>
      </c>
      <c r="B1468" t="s">
        <v>827</v>
      </c>
      <c r="C1468">
        <v>338.98</v>
      </c>
      <c r="D1468">
        <v>94.91</v>
      </c>
    </row>
    <row r="1469" spans="1:4" x14ac:dyDescent="0.3">
      <c r="A1469" t="s">
        <v>71</v>
      </c>
      <c r="B1469" t="s">
        <v>847</v>
      </c>
      <c r="C1469">
        <v>727.94</v>
      </c>
      <c r="D1469">
        <v>90.99</v>
      </c>
    </row>
    <row r="1470" spans="1:4" x14ac:dyDescent="0.3">
      <c r="A1470" t="s">
        <v>71</v>
      </c>
      <c r="B1470" t="s">
        <v>880</v>
      </c>
      <c r="C1470">
        <v>307.44</v>
      </c>
      <c r="D1470">
        <v>86.08</v>
      </c>
    </row>
    <row r="1471" spans="1:4" x14ac:dyDescent="0.3">
      <c r="A1471" t="s">
        <v>71</v>
      </c>
      <c r="B1471" t="s">
        <v>884</v>
      </c>
      <c r="C1471">
        <v>269.67</v>
      </c>
      <c r="D1471">
        <v>84.99</v>
      </c>
    </row>
    <row r="1472" spans="1:4" x14ac:dyDescent="0.3">
      <c r="A1472" t="s">
        <v>71</v>
      </c>
      <c r="B1472" t="s">
        <v>900</v>
      </c>
      <c r="C1472">
        <v>246.65</v>
      </c>
      <c r="D1472">
        <v>81.45</v>
      </c>
    </row>
    <row r="1473" spans="1:4" x14ac:dyDescent="0.3">
      <c r="A1473" t="s">
        <v>71</v>
      </c>
      <c r="B1473" t="s">
        <v>1044</v>
      </c>
      <c r="C1473">
        <v>229.57</v>
      </c>
      <c r="D1473">
        <v>58.67</v>
      </c>
    </row>
    <row r="1474" spans="1:4" x14ac:dyDescent="0.3">
      <c r="A1474" t="s">
        <v>71</v>
      </c>
      <c r="B1474" t="s">
        <v>1055</v>
      </c>
      <c r="C1474">
        <v>867.77</v>
      </c>
      <c r="D1474">
        <v>57.09</v>
      </c>
    </row>
    <row r="1475" spans="1:4" x14ac:dyDescent="0.3">
      <c r="A1475" t="s">
        <v>71</v>
      </c>
      <c r="B1475" t="s">
        <v>1138</v>
      </c>
      <c r="C1475">
        <v>254.85</v>
      </c>
      <c r="D1475">
        <v>49.78</v>
      </c>
    </row>
    <row r="1476" spans="1:4" x14ac:dyDescent="0.3">
      <c r="A1476" t="s">
        <v>71</v>
      </c>
      <c r="B1476" t="s">
        <v>1158</v>
      </c>
      <c r="C1476">
        <v>449.97</v>
      </c>
      <c r="D1476">
        <v>48</v>
      </c>
    </row>
    <row r="1477" spans="1:4" x14ac:dyDescent="0.3">
      <c r="A1477" t="s">
        <v>71</v>
      </c>
      <c r="B1477" t="s">
        <v>1233</v>
      </c>
      <c r="C1477">
        <v>95.62</v>
      </c>
      <c r="D1477">
        <v>41.83</v>
      </c>
    </row>
    <row r="1478" spans="1:4" x14ac:dyDescent="0.3">
      <c r="A1478" t="s">
        <v>71</v>
      </c>
      <c r="B1478" t="s">
        <v>1262</v>
      </c>
      <c r="C1478">
        <v>92.48</v>
      </c>
      <c r="D1478">
        <v>39.42</v>
      </c>
    </row>
    <row r="1479" spans="1:4" x14ac:dyDescent="0.3">
      <c r="A1479" t="s">
        <v>71</v>
      </c>
      <c r="B1479" t="s">
        <v>1418</v>
      </c>
      <c r="C1479">
        <v>67.73</v>
      </c>
      <c r="D1479">
        <v>27.09</v>
      </c>
    </row>
    <row r="1480" spans="1:4" x14ac:dyDescent="0.3">
      <c r="A1480" t="s">
        <v>71</v>
      </c>
      <c r="B1480" t="s">
        <v>1449</v>
      </c>
      <c r="C1480">
        <v>56.67</v>
      </c>
      <c r="D1480">
        <v>24.64</v>
      </c>
    </row>
    <row r="1481" spans="1:4" x14ac:dyDescent="0.3">
      <c r="A1481" t="s">
        <v>71</v>
      </c>
      <c r="B1481" t="s">
        <v>1456</v>
      </c>
      <c r="C1481">
        <v>51.36</v>
      </c>
      <c r="D1481">
        <v>24.14</v>
      </c>
    </row>
    <row r="1482" spans="1:4" x14ac:dyDescent="0.3">
      <c r="A1482" t="s">
        <v>71</v>
      </c>
      <c r="B1482" t="s">
        <v>1462</v>
      </c>
      <c r="C1482">
        <v>56.38</v>
      </c>
      <c r="D1482">
        <v>23.96</v>
      </c>
    </row>
    <row r="1483" spans="1:4" x14ac:dyDescent="0.3">
      <c r="A1483" t="s">
        <v>71</v>
      </c>
      <c r="B1483" t="s">
        <v>1507</v>
      </c>
      <c r="C1483">
        <v>121.3</v>
      </c>
      <c r="D1483">
        <v>21.71</v>
      </c>
    </row>
    <row r="1484" spans="1:4" x14ac:dyDescent="0.3">
      <c r="A1484" t="s">
        <v>71</v>
      </c>
      <c r="B1484" t="s">
        <v>1578</v>
      </c>
      <c r="C1484">
        <v>65.3</v>
      </c>
      <c r="D1484">
        <v>17.12</v>
      </c>
    </row>
    <row r="1485" spans="1:4" x14ac:dyDescent="0.3">
      <c r="A1485" t="s">
        <v>71</v>
      </c>
      <c r="B1485" t="s">
        <v>1635</v>
      </c>
      <c r="C1485">
        <v>35.950000000000003</v>
      </c>
      <c r="D1485">
        <v>14.3</v>
      </c>
    </row>
    <row r="1486" spans="1:4" x14ac:dyDescent="0.3">
      <c r="A1486" t="s">
        <v>71</v>
      </c>
      <c r="B1486" t="s">
        <v>1722</v>
      </c>
      <c r="C1486">
        <v>42.42</v>
      </c>
      <c r="D1486">
        <v>8.91</v>
      </c>
    </row>
    <row r="1487" spans="1:4" x14ac:dyDescent="0.3">
      <c r="A1487" t="s">
        <v>71</v>
      </c>
      <c r="B1487" t="s">
        <v>1800</v>
      </c>
      <c r="C1487">
        <v>193.92</v>
      </c>
      <c r="D1487">
        <v>4.8499999999999996</v>
      </c>
    </row>
    <row r="1488" spans="1:4" x14ac:dyDescent="0.3">
      <c r="A1488" t="s">
        <v>71</v>
      </c>
      <c r="B1488" t="s">
        <v>1834</v>
      </c>
      <c r="C1488">
        <v>106.17</v>
      </c>
      <c r="D1488">
        <v>2.79</v>
      </c>
    </row>
    <row r="1489" spans="1:4" x14ac:dyDescent="0.3">
      <c r="A1489" t="s">
        <v>71</v>
      </c>
      <c r="B1489" t="s">
        <v>1900</v>
      </c>
      <c r="C1489">
        <v>43.67</v>
      </c>
      <c r="D1489">
        <v>-3.49</v>
      </c>
    </row>
    <row r="1490" spans="1:4" x14ac:dyDescent="0.3">
      <c r="A1490" t="s">
        <v>71</v>
      </c>
      <c r="B1490" t="s">
        <v>1970</v>
      </c>
      <c r="C1490">
        <v>41.34</v>
      </c>
      <c r="D1490">
        <v>-19.690000000000001</v>
      </c>
    </row>
    <row r="1491" spans="1:4" x14ac:dyDescent="0.3">
      <c r="A1491" t="s">
        <v>71</v>
      </c>
      <c r="B1491" t="s">
        <v>1984</v>
      </c>
      <c r="C1491">
        <v>599.88</v>
      </c>
      <c r="D1491">
        <v>-24</v>
      </c>
    </row>
    <row r="1492" spans="1:4" x14ac:dyDescent="0.3">
      <c r="A1492" t="s">
        <v>71</v>
      </c>
      <c r="B1492" t="s">
        <v>2068</v>
      </c>
      <c r="C1492">
        <v>1073.25</v>
      </c>
      <c r="D1492">
        <v>-121.96</v>
      </c>
    </row>
    <row r="1493" spans="1:4" x14ac:dyDescent="0.3">
      <c r="A1493" t="s">
        <v>71</v>
      </c>
      <c r="B1493" t="s">
        <v>2130</v>
      </c>
      <c r="C1493">
        <v>4509.47</v>
      </c>
      <c r="D1493">
        <v>-332.37</v>
      </c>
    </row>
    <row r="1494" spans="1:4" x14ac:dyDescent="0.3">
      <c r="A1494" t="s">
        <v>71</v>
      </c>
      <c r="B1494" t="s">
        <v>2136</v>
      </c>
      <c r="C1494">
        <v>1256.68</v>
      </c>
      <c r="D1494">
        <v>-386.62</v>
      </c>
    </row>
    <row r="1495" spans="1:4" x14ac:dyDescent="0.3">
      <c r="A1495" t="s">
        <v>71</v>
      </c>
      <c r="B1495" t="s">
        <v>2158</v>
      </c>
      <c r="C1495">
        <v>2140.88</v>
      </c>
      <c r="D1495">
        <v>-479.22</v>
      </c>
    </row>
    <row r="1496" spans="1:4" x14ac:dyDescent="0.3">
      <c r="A1496" t="s">
        <v>71</v>
      </c>
      <c r="B1496" t="s">
        <v>2178</v>
      </c>
      <c r="C1496">
        <v>6942.07</v>
      </c>
      <c r="D1496">
        <v>-856.01</v>
      </c>
    </row>
    <row r="1497" spans="1:4" x14ac:dyDescent="0.3">
      <c r="A1497" t="s">
        <v>40</v>
      </c>
      <c r="B1497" t="s">
        <v>41</v>
      </c>
      <c r="C1497">
        <v>11619.83</v>
      </c>
      <c r="D1497">
        <v>4570.93</v>
      </c>
    </row>
    <row r="1498" spans="1:4" x14ac:dyDescent="0.3">
      <c r="A1498" t="s">
        <v>40</v>
      </c>
      <c r="B1498" t="s">
        <v>78</v>
      </c>
      <c r="C1498">
        <v>7730.2</v>
      </c>
      <c r="D1498">
        <v>1932.55</v>
      </c>
    </row>
    <row r="1499" spans="1:4" x14ac:dyDescent="0.3">
      <c r="A1499" t="s">
        <v>40</v>
      </c>
      <c r="B1499" t="s">
        <v>81</v>
      </c>
      <c r="C1499">
        <v>13943.67</v>
      </c>
      <c r="D1499">
        <v>1822.76</v>
      </c>
    </row>
    <row r="1500" spans="1:4" x14ac:dyDescent="0.3">
      <c r="A1500" t="s">
        <v>40</v>
      </c>
      <c r="B1500" t="s">
        <v>95</v>
      </c>
      <c r="C1500">
        <v>10925</v>
      </c>
      <c r="D1500">
        <v>1575.11</v>
      </c>
    </row>
    <row r="1501" spans="1:4" x14ac:dyDescent="0.3">
      <c r="A1501" t="s">
        <v>40</v>
      </c>
      <c r="B1501" t="s">
        <v>150</v>
      </c>
      <c r="C1501">
        <v>4209.8</v>
      </c>
      <c r="D1501">
        <v>1052.45</v>
      </c>
    </row>
    <row r="1502" spans="1:4" x14ac:dyDescent="0.3">
      <c r="A1502" t="s">
        <v>40</v>
      </c>
      <c r="B1502" t="s">
        <v>158</v>
      </c>
      <c r="C1502">
        <v>12975.38</v>
      </c>
      <c r="D1502">
        <v>951.86</v>
      </c>
    </row>
    <row r="1503" spans="1:4" x14ac:dyDescent="0.3">
      <c r="A1503" t="s">
        <v>40</v>
      </c>
      <c r="B1503" t="s">
        <v>184</v>
      </c>
      <c r="C1503">
        <v>6008.54</v>
      </c>
      <c r="D1503">
        <v>785.45</v>
      </c>
    </row>
    <row r="1504" spans="1:4" x14ac:dyDescent="0.3">
      <c r="A1504" t="s">
        <v>40</v>
      </c>
      <c r="B1504" t="s">
        <v>252</v>
      </c>
      <c r="C1504">
        <v>1222.75</v>
      </c>
      <c r="D1504">
        <v>574.69000000000005</v>
      </c>
    </row>
    <row r="1505" spans="1:4" x14ac:dyDescent="0.3">
      <c r="A1505" t="s">
        <v>40</v>
      </c>
      <c r="B1505" t="s">
        <v>268</v>
      </c>
      <c r="C1505">
        <v>3099.35</v>
      </c>
      <c r="D1505">
        <v>548.05999999999995</v>
      </c>
    </row>
    <row r="1506" spans="1:4" x14ac:dyDescent="0.3">
      <c r="A1506" t="s">
        <v>40</v>
      </c>
      <c r="B1506" t="s">
        <v>283</v>
      </c>
      <c r="C1506">
        <v>1139.81</v>
      </c>
      <c r="D1506">
        <v>515.91</v>
      </c>
    </row>
    <row r="1507" spans="1:4" x14ac:dyDescent="0.3">
      <c r="A1507" t="s">
        <v>40</v>
      </c>
      <c r="B1507" t="s">
        <v>297</v>
      </c>
      <c r="C1507">
        <v>2508.67</v>
      </c>
      <c r="D1507">
        <v>505.65</v>
      </c>
    </row>
    <row r="1508" spans="1:4" x14ac:dyDescent="0.3">
      <c r="A1508" t="s">
        <v>40</v>
      </c>
      <c r="B1508" t="s">
        <v>299</v>
      </c>
      <c r="C1508">
        <v>3998.4</v>
      </c>
      <c r="D1508">
        <v>499.8</v>
      </c>
    </row>
    <row r="1509" spans="1:4" x14ac:dyDescent="0.3">
      <c r="A1509" t="s">
        <v>40</v>
      </c>
      <c r="B1509" t="s">
        <v>302</v>
      </c>
      <c r="C1509">
        <v>1799.82</v>
      </c>
      <c r="D1509">
        <v>497.95</v>
      </c>
    </row>
    <row r="1510" spans="1:4" x14ac:dyDescent="0.3">
      <c r="A1510" t="s">
        <v>40</v>
      </c>
      <c r="B1510" t="s">
        <v>321</v>
      </c>
      <c r="C1510">
        <v>1343.92</v>
      </c>
      <c r="D1510">
        <v>463.97</v>
      </c>
    </row>
    <row r="1511" spans="1:4" x14ac:dyDescent="0.3">
      <c r="A1511" t="s">
        <v>40</v>
      </c>
      <c r="B1511" t="s">
        <v>373</v>
      </c>
      <c r="C1511">
        <v>857.38</v>
      </c>
      <c r="D1511">
        <v>380.87</v>
      </c>
    </row>
    <row r="1512" spans="1:4" x14ac:dyDescent="0.3">
      <c r="A1512" t="s">
        <v>40</v>
      </c>
      <c r="B1512" t="s">
        <v>392</v>
      </c>
      <c r="C1512">
        <v>767.23</v>
      </c>
      <c r="D1512">
        <v>354.25</v>
      </c>
    </row>
    <row r="1513" spans="1:4" x14ac:dyDescent="0.3">
      <c r="A1513" t="s">
        <v>40</v>
      </c>
      <c r="B1513" t="s">
        <v>443</v>
      </c>
      <c r="C1513">
        <v>699.03</v>
      </c>
      <c r="D1513">
        <v>298.36</v>
      </c>
    </row>
    <row r="1514" spans="1:4" x14ac:dyDescent="0.3">
      <c r="A1514" t="s">
        <v>40</v>
      </c>
      <c r="B1514" t="s">
        <v>463</v>
      </c>
      <c r="C1514">
        <v>615.54999999999995</v>
      </c>
      <c r="D1514">
        <v>279.2</v>
      </c>
    </row>
    <row r="1515" spans="1:4" x14ac:dyDescent="0.3">
      <c r="A1515" t="s">
        <v>40</v>
      </c>
      <c r="B1515" t="s">
        <v>478</v>
      </c>
      <c r="C1515">
        <v>749.95</v>
      </c>
      <c r="D1515">
        <v>262.48</v>
      </c>
    </row>
    <row r="1516" spans="1:4" x14ac:dyDescent="0.3">
      <c r="A1516" t="s">
        <v>40</v>
      </c>
      <c r="B1516" t="s">
        <v>488</v>
      </c>
      <c r="C1516">
        <v>1489.33</v>
      </c>
      <c r="D1516">
        <v>255.31</v>
      </c>
    </row>
    <row r="1517" spans="1:4" x14ac:dyDescent="0.3">
      <c r="A1517" t="s">
        <v>40</v>
      </c>
      <c r="B1517" t="s">
        <v>495</v>
      </c>
      <c r="C1517">
        <v>2227.0100000000002</v>
      </c>
      <c r="D1517">
        <v>250.54</v>
      </c>
    </row>
    <row r="1518" spans="1:4" x14ac:dyDescent="0.3">
      <c r="A1518" t="s">
        <v>40</v>
      </c>
      <c r="B1518" t="s">
        <v>529</v>
      </c>
      <c r="C1518">
        <v>488.9</v>
      </c>
      <c r="D1518">
        <v>223.14</v>
      </c>
    </row>
    <row r="1519" spans="1:4" x14ac:dyDescent="0.3">
      <c r="A1519" t="s">
        <v>40</v>
      </c>
      <c r="B1519" t="s">
        <v>551</v>
      </c>
      <c r="C1519">
        <v>709.5</v>
      </c>
      <c r="D1519">
        <v>205.75</v>
      </c>
    </row>
    <row r="1520" spans="1:4" x14ac:dyDescent="0.3">
      <c r="A1520" t="s">
        <v>40</v>
      </c>
      <c r="B1520" t="s">
        <v>568</v>
      </c>
      <c r="C1520">
        <v>434.56</v>
      </c>
      <c r="D1520">
        <v>197.1</v>
      </c>
    </row>
    <row r="1521" spans="1:4" x14ac:dyDescent="0.3">
      <c r="A1521" t="s">
        <v>40</v>
      </c>
      <c r="B1521" t="s">
        <v>644</v>
      </c>
      <c r="C1521">
        <v>1283.54</v>
      </c>
      <c r="D1521">
        <v>154.81</v>
      </c>
    </row>
    <row r="1522" spans="1:4" x14ac:dyDescent="0.3">
      <c r="A1522" t="s">
        <v>40</v>
      </c>
      <c r="B1522" t="s">
        <v>687</v>
      </c>
      <c r="C1522">
        <v>531.71</v>
      </c>
      <c r="D1522">
        <v>135.31</v>
      </c>
    </row>
    <row r="1523" spans="1:4" x14ac:dyDescent="0.3">
      <c r="A1523" t="s">
        <v>40</v>
      </c>
      <c r="B1523" t="s">
        <v>698</v>
      </c>
      <c r="C1523">
        <v>937.85</v>
      </c>
      <c r="D1523">
        <v>130.47999999999999</v>
      </c>
    </row>
    <row r="1524" spans="1:4" x14ac:dyDescent="0.3">
      <c r="A1524" t="s">
        <v>40</v>
      </c>
      <c r="B1524" t="s">
        <v>701</v>
      </c>
      <c r="C1524">
        <v>448.77</v>
      </c>
      <c r="D1524">
        <v>129.72</v>
      </c>
    </row>
    <row r="1525" spans="1:4" x14ac:dyDescent="0.3">
      <c r="A1525" t="s">
        <v>40</v>
      </c>
      <c r="B1525" t="s">
        <v>724</v>
      </c>
      <c r="C1525">
        <v>268.5</v>
      </c>
      <c r="D1525">
        <v>123.51</v>
      </c>
    </row>
    <row r="1526" spans="1:4" x14ac:dyDescent="0.3">
      <c r="A1526" t="s">
        <v>40</v>
      </c>
      <c r="B1526" t="s">
        <v>732</v>
      </c>
      <c r="C1526">
        <v>422.29</v>
      </c>
      <c r="D1526">
        <v>121.99</v>
      </c>
    </row>
    <row r="1527" spans="1:4" x14ac:dyDescent="0.3">
      <c r="A1527" t="s">
        <v>40</v>
      </c>
      <c r="B1527" t="s">
        <v>741</v>
      </c>
      <c r="C1527">
        <v>533.37</v>
      </c>
      <c r="D1527">
        <v>119.55</v>
      </c>
    </row>
    <row r="1528" spans="1:4" x14ac:dyDescent="0.3">
      <c r="A1528" t="s">
        <v>40</v>
      </c>
      <c r="B1528" t="s">
        <v>743</v>
      </c>
      <c r="C1528">
        <v>483.41</v>
      </c>
      <c r="D1528">
        <v>118.93</v>
      </c>
    </row>
    <row r="1529" spans="1:4" x14ac:dyDescent="0.3">
      <c r="A1529" t="s">
        <v>40</v>
      </c>
      <c r="B1529" t="s">
        <v>810</v>
      </c>
      <c r="C1529">
        <v>386.75</v>
      </c>
      <c r="D1529">
        <v>100.66</v>
      </c>
    </row>
    <row r="1530" spans="1:4" x14ac:dyDescent="0.3">
      <c r="A1530" t="s">
        <v>40</v>
      </c>
      <c r="B1530" t="s">
        <v>830</v>
      </c>
      <c r="C1530">
        <v>353.29</v>
      </c>
      <c r="D1530">
        <v>94.61</v>
      </c>
    </row>
    <row r="1531" spans="1:4" x14ac:dyDescent="0.3">
      <c r="A1531" t="s">
        <v>40</v>
      </c>
      <c r="B1531" t="s">
        <v>838</v>
      </c>
      <c r="C1531">
        <v>460.29</v>
      </c>
      <c r="D1531">
        <v>93.25</v>
      </c>
    </row>
    <row r="1532" spans="1:4" x14ac:dyDescent="0.3">
      <c r="A1532" t="s">
        <v>40</v>
      </c>
      <c r="B1532" t="s">
        <v>840</v>
      </c>
      <c r="C1532">
        <v>201.08</v>
      </c>
      <c r="D1532">
        <v>92.57</v>
      </c>
    </row>
    <row r="1533" spans="1:4" x14ac:dyDescent="0.3">
      <c r="A1533" t="s">
        <v>40</v>
      </c>
      <c r="B1533" t="s">
        <v>854</v>
      </c>
      <c r="C1533">
        <v>377.54</v>
      </c>
      <c r="D1533">
        <v>90.27</v>
      </c>
    </row>
    <row r="1534" spans="1:4" x14ac:dyDescent="0.3">
      <c r="A1534" t="s">
        <v>40</v>
      </c>
      <c r="B1534" t="s">
        <v>873</v>
      </c>
      <c r="C1534">
        <v>258.72000000000003</v>
      </c>
      <c r="D1534">
        <v>87.96</v>
      </c>
    </row>
    <row r="1535" spans="1:4" x14ac:dyDescent="0.3">
      <c r="A1535" t="s">
        <v>40</v>
      </c>
      <c r="B1535" t="s">
        <v>874</v>
      </c>
      <c r="C1535">
        <v>184.62</v>
      </c>
      <c r="D1535">
        <v>87.69</v>
      </c>
    </row>
    <row r="1536" spans="1:4" x14ac:dyDescent="0.3">
      <c r="A1536" t="s">
        <v>40</v>
      </c>
      <c r="B1536" t="s">
        <v>875</v>
      </c>
      <c r="C1536">
        <v>203.94</v>
      </c>
      <c r="D1536">
        <v>87.69</v>
      </c>
    </row>
    <row r="1537" spans="1:4" x14ac:dyDescent="0.3">
      <c r="A1537" t="s">
        <v>40</v>
      </c>
      <c r="B1537" t="s">
        <v>905</v>
      </c>
      <c r="C1537">
        <v>1207.2</v>
      </c>
      <c r="D1537">
        <v>80.48</v>
      </c>
    </row>
    <row r="1538" spans="1:4" x14ac:dyDescent="0.3">
      <c r="A1538" t="s">
        <v>40</v>
      </c>
      <c r="B1538" t="s">
        <v>917</v>
      </c>
      <c r="C1538">
        <v>345.84</v>
      </c>
      <c r="D1538">
        <v>78.08</v>
      </c>
    </row>
    <row r="1539" spans="1:4" x14ac:dyDescent="0.3">
      <c r="A1539" t="s">
        <v>40</v>
      </c>
      <c r="B1539" t="s">
        <v>927</v>
      </c>
      <c r="C1539">
        <v>182.49</v>
      </c>
      <c r="D1539">
        <v>76.459999999999994</v>
      </c>
    </row>
    <row r="1540" spans="1:4" x14ac:dyDescent="0.3">
      <c r="A1540" t="s">
        <v>40</v>
      </c>
      <c r="B1540" t="s">
        <v>941</v>
      </c>
      <c r="C1540">
        <v>159.38999999999999</v>
      </c>
      <c r="D1540">
        <v>73.28</v>
      </c>
    </row>
    <row r="1541" spans="1:4" x14ac:dyDescent="0.3">
      <c r="A1541" t="s">
        <v>40</v>
      </c>
      <c r="B1541" t="s">
        <v>966</v>
      </c>
      <c r="C1541">
        <v>146.44999999999999</v>
      </c>
      <c r="D1541">
        <v>68.95</v>
      </c>
    </row>
    <row r="1542" spans="1:4" x14ac:dyDescent="0.3">
      <c r="A1542" t="s">
        <v>40</v>
      </c>
      <c r="B1542" t="s">
        <v>968</v>
      </c>
      <c r="C1542">
        <v>176.29</v>
      </c>
      <c r="D1542">
        <v>68.72</v>
      </c>
    </row>
    <row r="1543" spans="1:4" x14ac:dyDescent="0.3">
      <c r="A1543" t="s">
        <v>40</v>
      </c>
      <c r="B1543" t="s">
        <v>986</v>
      </c>
      <c r="C1543">
        <v>291.85000000000002</v>
      </c>
      <c r="D1543">
        <v>66.97</v>
      </c>
    </row>
    <row r="1544" spans="1:4" x14ac:dyDescent="0.3">
      <c r="A1544" t="s">
        <v>40</v>
      </c>
      <c r="B1544" t="s">
        <v>990</v>
      </c>
      <c r="C1544">
        <v>251.76</v>
      </c>
      <c r="D1544">
        <v>65.459999999999994</v>
      </c>
    </row>
    <row r="1545" spans="1:4" x14ac:dyDescent="0.3">
      <c r="A1545" t="s">
        <v>40</v>
      </c>
      <c r="B1545" t="s">
        <v>1027</v>
      </c>
      <c r="C1545">
        <v>1679.89</v>
      </c>
      <c r="D1545">
        <v>60</v>
      </c>
    </row>
    <row r="1546" spans="1:4" x14ac:dyDescent="0.3">
      <c r="A1546" t="s">
        <v>40</v>
      </c>
      <c r="B1546" t="s">
        <v>1035</v>
      </c>
      <c r="C1546">
        <v>197.82</v>
      </c>
      <c r="D1546">
        <v>59.35</v>
      </c>
    </row>
    <row r="1547" spans="1:4" x14ac:dyDescent="0.3">
      <c r="A1547" t="s">
        <v>40</v>
      </c>
      <c r="B1547" t="s">
        <v>1076</v>
      </c>
      <c r="C1547">
        <v>143.41999999999999</v>
      </c>
      <c r="D1547">
        <v>55.24</v>
      </c>
    </row>
    <row r="1548" spans="1:4" x14ac:dyDescent="0.3">
      <c r="A1548" t="s">
        <v>40</v>
      </c>
      <c r="B1548" t="s">
        <v>1085</v>
      </c>
      <c r="C1548">
        <v>171.14</v>
      </c>
      <c r="D1548">
        <v>53.81</v>
      </c>
    </row>
    <row r="1549" spans="1:4" x14ac:dyDescent="0.3">
      <c r="A1549" t="s">
        <v>40</v>
      </c>
      <c r="B1549" t="s">
        <v>1087</v>
      </c>
      <c r="C1549">
        <v>364.85</v>
      </c>
      <c r="D1549">
        <v>53.73</v>
      </c>
    </row>
    <row r="1550" spans="1:4" x14ac:dyDescent="0.3">
      <c r="A1550" t="s">
        <v>40</v>
      </c>
      <c r="B1550" t="s">
        <v>1100</v>
      </c>
      <c r="C1550">
        <v>284.72000000000003</v>
      </c>
      <c r="D1550">
        <v>52.65</v>
      </c>
    </row>
    <row r="1551" spans="1:4" x14ac:dyDescent="0.3">
      <c r="A1551" t="s">
        <v>40</v>
      </c>
      <c r="B1551" t="s">
        <v>1119</v>
      </c>
      <c r="C1551">
        <v>251.2</v>
      </c>
      <c r="D1551">
        <v>51.02</v>
      </c>
    </row>
    <row r="1552" spans="1:4" x14ac:dyDescent="0.3">
      <c r="A1552" t="s">
        <v>40</v>
      </c>
      <c r="B1552" t="s">
        <v>1143</v>
      </c>
      <c r="C1552">
        <v>106.47</v>
      </c>
      <c r="D1552">
        <v>49.14</v>
      </c>
    </row>
    <row r="1553" spans="1:4" x14ac:dyDescent="0.3">
      <c r="A1553" t="s">
        <v>40</v>
      </c>
      <c r="B1553" t="s">
        <v>1147</v>
      </c>
      <c r="C1553">
        <v>109.58</v>
      </c>
      <c r="D1553">
        <v>49.08</v>
      </c>
    </row>
    <row r="1554" spans="1:4" x14ac:dyDescent="0.3">
      <c r="A1554" t="s">
        <v>40</v>
      </c>
      <c r="B1554" t="s">
        <v>1165</v>
      </c>
      <c r="C1554">
        <v>119.97</v>
      </c>
      <c r="D1554">
        <v>47.6</v>
      </c>
    </row>
    <row r="1555" spans="1:4" x14ac:dyDescent="0.3">
      <c r="A1555" t="s">
        <v>40</v>
      </c>
      <c r="B1555" t="s">
        <v>1179</v>
      </c>
      <c r="C1555">
        <v>395.78</v>
      </c>
      <c r="D1555">
        <v>46.05</v>
      </c>
    </row>
    <row r="1556" spans="1:4" x14ac:dyDescent="0.3">
      <c r="A1556" t="s">
        <v>40</v>
      </c>
      <c r="B1556" t="s">
        <v>1183</v>
      </c>
      <c r="C1556">
        <v>92.48</v>
      </c>
      <c r="D1556">
        <v>45.32</v>
      </c>
    </row>
    <row r="1557" spans="1:4" x14ac:dyDescent="0.3">
      <c r="A1557" t="s">
        <v>40</v>
      </c>
      <c r="B1557" t="s">
        <v>1200</v>
      </c>
      <c r="C1557">
        <v>118.72</v>
      </c>
      <c r="D1557">
        <v>43.71</v>
      </c>
    </row>
    <row r="1558" spans="1:4" x14ac:dyDescent="0.3">
      <c r="A1558" t="s">
        <v>40</v>
      </c>
      <c r="B1558" t="s">
        <v>1201</v>
      </c>
      <c r="C1558">
        <v>109.57</v>
      </c>
      <c r="D1558">
        <v>43.66</v>
      </c>
    </row>
    <row r="1559" spans="1:4" x14ac:dyDescent="0.3">
      <c r="A1559" t="s">
        <v>40</v>
      </c>
      <c r="B1559" t="s">
        <v>1222</v>
      </c>
      <c r="C1559">
        <v>778.74</v>
      </c>
      <c r="D1559">
        <v>42.54</v>
      </c>
    </row>
    <row r="1560" spans="1:4" x14ac:dyDescent="0.3">
      <c r="A1560" t="s">
        <v>40</v>
      </c>
      <c r="B1560" t="s">
        <v>1237</v>
      </c>
      <c r="C1560">
        <v>239.58</v>
      </c>
      <c r="D1560">
        <v>41.38</v>
      </c>
    </row>
    <row r="1561" spans="1:4" x14ac:dyDescent="0.3">
      <c r="A1561" t="s">
        <v>40</v>
      </c>
      <c r="B1561" t="s">
        <v>1247</v>
      </c>
      <c r="C1561">
        <v>85.5</v>
      </c>
      <c r="D1561">
        <v>40.35</v>
      </c>
    </row>
    <row r="1562" spans="1:4" x14ac:dyDescent="0.3">
      <c r="A1562" t="s">
        <v>40</v>
      </c>
      <c r="B1562" t="s">
        <v>1319</v>
      </c>
      <c r="C1562">
        <v>299.97000000000003</v>
      </c>
      <c r="D1562">
        <v>35</v>
      </c>
    </row>
    <row r="1563" spans="1:4" x14ac:dyDescent="0.3">
      <c r="A1563" t="s">
        <v>40</v>
      </c>
      <c r="B1563" t="s">
        <v>1328</v>
      </c>
      <c r="C1563">
        <v>638.82000000000005</v>
      </c>
      <c r="D1563">
        <v>34.07</v>
      </c>
    </row>
    <row r="1564" spans="1:4" x14ac:dyDescent="0.3">
      <c r="A1564" t="s">
        <v>40</v>
      </c>
      <c r="B1564" t="s">
        <v>1332</v>
      </c>
      <c r="C1564">
        <v>157.53</v>
      </c>
      <c r="D1564">
        <v>33.35</v>
      </c>
    </row>
    <row r="1565" spans="1:4" x14ac:dyDescent="0.3">
      <c r="A1565" t="s">
        <v>40</v>
      </c>
      <c r="B1565" t="s">
        <v>1336</v>
      </c>
      <c r="C1565">
        <v>166.06</v>
      </c>
      <c r="D1565">
        <v>33.130000000000003</v>
      </c>
    </row>
    <row r="1566" spans="1:4" x14ac:dyDescent="0.3">
      <c r="A1566" t="s">
        <v>40</v>
      </c>
      <c r="B1566" t="s">
        <v>1379</v>
      </c>
      <c r="C1566">
        <v>70.75</v>
      </c>
      <c r="D1566">
        <v>30.1</v>
      </c>
    </row>
    <row r="1567" spans="1:4" x14ac:dyDescent="0.3">
      <c r="A1567" t="s">
        <v>40</v>
      </c>
      <c r="B1567" t="s">
        <v>1395</v>
      </c>
      <c r="C1567">
        <v>73.7</v>
      </c>
      <c r="D1567">
        <v>29.28</v>
      </c>
    </row>
    <row r="1568" spans="1:4" x14ac:dyDescent="0.3">
      <c r="A1568" t="s">
        <v>40</v>
      </c>
      <c r="B1568" t="s">
        <v>1398</v>
      </c>
      <c r="C1568">
        <v>110.48</v>
      </c>
      <c r="D1568">
        <v>29.24</v>
      </c>
    </row>
    <row r="1569" spans="1:4" x14ac:dyDescent="0.3">
      <c r="A1569" t="s">
        <v>40</v>
      </c>
      <c r="B1569" t="s">
        <v>1429</v>
      </c>
      <c r="C1569">
        <v>124.59</v>
      </c>
      <c r="D1569">
        <v>26.21</v>
      </c>
    </row>
    <row r="1570" spans="1:4" x14ac:dyDescent="0.3">
      <c r="A1570" t="s">
        <v>40</v>
      </c>
      <c r="B1570" t="s">
        <v>1443</v>
      </c>
      <c r="C1570">
        <v>58.69</v>
      </c>
      <c r="D1570">
        <v>24.86</v>
      </c>
    </row>
    <row r="1571" spans="1:4" x14ac:dyDescent="0.3">
      <c r="A1571" t="s">
        <v>40</v>
      </c>
      <c r="B1571" t="s">
        <v>1452</v>
      </c>
      <c r="C1571">
        <v>1064.6199999999999</v>
      </c>
      <c r="D1571">
        <v>24.2</v>
      </c>
    </row>
    <row r="1572" spans="1:4" x14ac:dyDescent="0.3">
      <c r="A1572" t="s">
        <v>40</v>
      </c>
      <c r="B1572" t="s">
        <v>1459</v>
      </c>
      <c r="C1572">
        <v>263.08999999999997</v>
      </c>
      <c r="D1572">
        <v>24.07</v>
      </c>
    </row>
    <row r="1573" spans="1:4" x14ac:dyDescent="0.3">
      <c r="A1573" t="s">
        <v>40</v>
      </c>
      <c r="B1573" t="s">
        <v>1461</v>
      </c>
      <c r="C1573">
        <v>80.489999999999995</v>
      </c>
      <c r="D1573">
        <v>23.96</v>
      </c>
    </row>
    <row r="1574" spans="1:4" x14ac:dyDescent="0.3">
      <c r="A1574" t="s">
        <v>40</v>
      </c>
      <c r="B1574" t="s">
        <v>1473</v>
      </c>
      <c r="C1574">
        <v>357</v>
      </c>
      <c r="D1574">
        <v>23.25</v>
      </c>
    </row>
    <row r="1575" spans="1:4" x14ac:dyDescent="0.3">
      <c r="A1575" t="s">
        <v>40</v>
      </c>
      <c r="B1575" t="s">
        <v>1486</v>
      </c>
      <c r="C1575">
        <v>65.06</v>
      </c>
      <c r="D1575">
        <v>22.68</v>
      </c>
    </row>
    <row r="1576" spans="1:4" x14ac:dyDescent="0.3">
      <c r="A1576" t="s">
        <v>40</v>
      </c>
      <c r="B1576" t="s">
        <v>1503</v>
      </c>
      <c r="C1576">
        <v>105.85</v>
      </c>
      <c r="D1576">
        <v>21.89</v>
      </c>
    </row>
    <row r="1577" spans="1:4" x14ac:dyDescent="0.3">
      <c r="A1577" t="s">
        <v>40</v>
      </c>
      <c r="B1577" t="s">
        <v>1544</v>
      </c>
      <c r="C1577">
        <v>67.25</v>
      </c>
      <c r="D1577">
        <v>19.690000000000001</v>
      </c>
    </row>
    <row r="1578" spans="1:4" x14ac:dyDescent="0.3">
      <c r="A1578" t="s">
        <v>40</v>
      </c>
      <c r="B1578" t="s">
        <v>1552</v>
      </c>
      <c r="C1578">
        <v>47.08</v>
      </c>
      <c r="D1578">
        <v>18.829999999999998</v>
      </c>
    </row>
    <row r="1579" spans="1:4" x14ac:dyDescent="0.3">
      <c r="A1579" t="s">
        <v>40</v>
      </c>
      <c r="B1579" t="s">
        <v>1556</v>
      </c>
      <c r="C1579">
        <v>342.77</v>
      </c>
      <c r="D1579">
        <v>18.53</v>
      </c>
    </row>
    <row r="1580" spans="1:4" x14ac:dyDescent="0.3">
      <c r="A1580" t="s">
        <v>40</v>
      </c>
      <c r="B1580" t="s">
        <v>1570</v>
      </c>
      <c r="C1580">
        <v>54.58</v>
      </c>
      <c r="D1580">
        <v>17.62</v>
      </c>
    </row>
    <row r="1581" spans="1:4" x14ac:dyDescent="0.3">
      <c r="A1581" t="s">
        <v>40</v>
      </c>
      <c r="B1581" t="s">
        <v>1597</v>
      </c>
      <c r="C1581">
        <v>213.48</v>
      </c>
      <c r="D1581">
        <v>16.010000000000002</v>
      </c>
    </row>
    <row r="1582" spans="1:4" x14ac:dyDescent="0.3">
      <c r="A1582" t="s">
        <v>40</v>
      </c>
      <c r="B1582" t="s">
        <v>1612</v>
      </c>
      <c r="C1582">
        <v>66.66</v>
      </c>
      <c r="D1582">
        <v>15.31</v>
      </c>
    </row>
    <row r="1583" spans="1:4" x14ac:dyDescent="0.3">
      <c r="A1583" t="s">
        <v>40</v>
      </c>
      <c r="B1583" t="s">
        <v>1668</v>
      </c>
      <c r="C1583">
        <v>90.71</v>
      </c>
      <c r="D1583">
        <v>12.46</v>
      </c>
    </row>
    <row r="1584" spans="1:4" x14ac:dyDescent="0.3">
      <c r="A1584" t="s">
        <v>40</v>
      </c>
      <c r="B1584" t="s">
        <v>1676</v>
      </c>
      <c r="C1584">
        <v>47.23</v>
      </c>
      <c r="D1584">
        <v>11.98</v>
      </c>
    </row>
    <row r="1585" spans="1:4" x14ac:dyDescent="0.3">
      <c r="A1585" t="s">
        <v>40</v>
      </c>
      <c r="B1585" t="s">
        <v>1694</v>
      </c>
      <c r="C1585">
        <v>47.54</v>
      </c>
      <c r="D1585">
        <v>10.19</v>
      </c>
    </row>
    <row r="1586" spans="1:4" x14ac:dyDescent="0.3">
      <c r="A1586" t="s">
        <v>40</v>
      </c>
      <c r="B1586" t="s">
        <v>1844</v>
      </c>
      <c r="C1586">
        <v>9.57</v>
      </c>
      <c r="D1586">
        <v>2.29</v>
      </c>
    </row>
    <row r="1587" spans="1:4" x14ac:dyDescent="0.3">
      <c r="A1587" t="s">
        <v>40</v>
      </c>
      <c r="B1587" t="s">
        <v>1845</v>
      </c>
      <c r="C1587">
        <v>8.4</v>
      </c>
      <c r="D1587">
        <v>2.1</v>
      </c>
    </row>
    <row r="1588" spans="1:4" x14ac:dyDescent="0.3">
      <c r="A1588" t="s">
        <v>40</v>
      </c>
      <c r="B1588" t="s">
        <v>1847</v>
      </c>
      <c r="C1588">
        <v>443.68</v>
      </c>
      <c r="D1588">
        <v>1.88</v>
      </c>
    </row>
    <row r="1589" spans="1:4" x14ac:dyDescent="0.3">
      <c r="A1589" t="s">
        <v>40</v>
      </c>
      <c r="B1589" t="s">
        <v>1920</v>
      </c>
      <c r="C1589">
        <v>31.59</v>
      </c>
      <c r="D1589">
        <v>-7.03</v>
      </c>
    </row>
    <row r="1590" spans="1:4" x14ac:dyDescent="0.3">
      <c r="A1590" t="s">
        <v>40</v>
      </c>
      <c r="B1590" t="s">
        <v>1971</v>
      </c>
      <c r="C1590">
        <v>43.76</v>
      </c>
      <c r="D1590">
        <v>-19.82</v>
      </c>
    </row>
    <row r="1591" spans="1:4" x14ac:dyDescent="0.3">
      <c r="A1591" t="s">
        <v>40</v>
      </c>
      <c r="B1591" t="s">
        <v>2029</v>
      </c>
      <c r="C1591">
        <v>953.82</v>
      </c>
      <c r="D1591">
        <v>-63.59</v>
      </c>
    </row>
    <row r="1592" spans="1:4" x14ac:dyDescent="0.3">
      <c r="A1592" t="s">
        <v>40</v>
      </c>
      <c r="B1592" t="s">
        <v>2031</v>
      </c>
      <c r="C1592">
        <v>1912.31</v>
      </c>
      <c r="D1592">
        <v>-68.11</v>
      </c>
    </row>
    <row r="1593" spans="1:4" x14ac:dyDescent="0.3">
      <c r="A1593" t="s">
        <v>40</v>
      </c>
      <c r="B1593" t="s">
        <v>2047</v>
      </c>
      <c r="C1593">
        <v>2970.06</v>
      </c>
      <c r="D1593">
        <v>-78.64</v>
      </c>
    </row>
    <row r="1594" spans="1:4" x14ac:dyDescent="0.3">
      <c r="A1594" t="s">
        <v>40</v>
      </c>
      <c r="B1594" t="s">
        <v>2055</v>
      </c>
      <c r="C1594">
        <v>1368.26</v>
      </c>
      <c r="D1594">
        <v>-103.48</v>
      </c>
    </row>
    <row r="1595" spans="1:4" x14ac:dyDescent="0.3">
      <c r="A1595" t="s">
        <v>40</v>
      </c>
      <c r="B1595" t="s">
        <v>2070</v>
      </c>
      <c r="C1595">
        <v>935.2</v>
      </c>
      <c r="D1595">
        <v>-125.74</v>
      </c>
    </row>
    <row r="1596" spans="1:4" x14ac:dyDescent="0.3">
      <c r="A1596" t="s">
        <v>40</v>
      </c>
      <c r="B1596" t="s">
        <v>2076</v>
      </c>
      <c r="C1596">
        <v>1890.38</v>
      </c>
      <c r="D1596">
        <v>-131.11000000000001</v>
      </c>
    </row>
    <row r="1597" spans="1:4" x14ac:dyDescent="0.3">
      <c r="A1597" t="s">
        <v>40</v>
      </c>
      <c r="B1597" t="s">
        <v>2104</v>
      </c>
      <c r="C1597">
        <v>3626.01</v>
      </c>
      <c r="D1597">
        <v>-208.65</v>
      </c>
    </row>
    <row r="1598" spans="1:4" x14ac:dyDescent="0.3">
      <c r="A1598" t="s">
        <v>40</v>
      </c>
      <c r="B1598" t="s">
        <v>2112</v>
      </c>
      <c r="C1598">
        <v>5965.09</v>
      </c>
      <c r="D1598">
        <v>-238.6</v>
      </c>
    </row>
    <row r="1599" spans="1:4" x14ac:dyDescent="0.3">
      <c r="A1599" t="s">
        <v>40</v>
      </c>
      <c r="B1599" t="s">
        <v>2118</v>
      </c>
      <c r="C1599">
        <v>17030.310000000001</v>
      </c>
      <c r="D1599">
        <v>-262</v>
      </c>
    </row>
    <row r="1600" spans="1:4" x14ac:dyDescent="0.3">
      <c r="A1600" t="s">
        <v>188</v>
      </c>
      <c r="B1600" t="s">
        <v>189</v>
      </c>
      <c r="C1600">
        <v>9070.94</v>
      </c>
      <c r="D1600">
        <v>773.26</v>
      </c>
    </row>
    <row r="1601" spans="1:4" x14ac:dyDescent="0.3">
      <c r="A1601" t="s">
        <v>188</v>
      </c>
      <c r="B1601" t="s">
        <v>509</v>
      </c>
      <c r="C1601">
        <v>812.16</v>
      </c>
      <c r="D1601">
        <v>235.53</v>
      </c>
    </row>
    <row r="1602" spans="1:4" x14ac:dyDescent="0.3">
      <c r="A1602" t="s">
        <v>188</v>
      </c>
      <c r="B1602" t="s">
        <v>605</v>
      </c>
      <c r="C1602">
        <v>1322.17</v>
      </c>
      <c r="D1602">
        <v>172.25</v>
      </c>
    </row>
    <row r="1603" spans="1:4" x14ac:dyDescent="0.3">
      <c r="A1603" t="s">
        <v>96</v>
      </c>
      <c r="B1603" t="s">
        <v>97</v>
      </c>
      <c r="C1603">
        <v>6483.8</v>
      </c>
      <c r="D1603">
        <v>1540.7</v>
      </c>
    </row>
    <row r="1604" spans="1:4" x14ac:dyDescent="0.3">
      <c r="A1604" t="s">
        <v>96</v>
      </c>
      <c r="B1604" t="s">
        <v>284</v>
      </c>
      <c r="C1604">
        <v>8878.4</v>
      </c>
      <c r="D1604">
        <v>515.52</v>
      </c>
    </row>
    <row r="1605" spans="1:4" x14ac:dyDescent="0.3">
      <c r="A1605" t="s">
        <v>96</v>
      </c>
      <c r="B1605" t="s">
        <v>479</v>
      </c>
      <c r="C1605">
        <v>1125.1500000000001</v>
      </c>
      <c r="D1605">
        <v>260.95</v>
      </c>
    </row>
    <row r="1606" spans="1:4" x14ac:dyDescent="0.3">
      <c r="A1606" t="s">
        <v>96</v>
      </c>
      <c r="B1606" t="s">
        <v>506</v>
      </c>
      <c r="C1606">
        <v>527.47</v>
      </c>
      <c r="D1606">
        <v>236.56</v>
      </c>
    </row>
    <row r="1607" spans="1:4" x14ac:dyDescent="0.3">
      <c r="A1607" t="s">
        <v>96</v>
      </c>
      <c r="B1607" t="s">
        <v>744</v>
      </c>
      <c r="C1607">
        <v>517.63</v>
      </c>
      <c r="D1607">
        <v>118.62</v>
      </c>
    </row>
    <row r="1608" spans="1:4" x14ac:dyDescent="0.3">
      <c r="A1608" t="s">
        <v>96</v>
      </c>
      <c r="B1608" t="s">
        <v>949</v>
      </c>
      <c r="C1608">
        <v>253.8</v>
      </c>
      <c r="D1608">
        <v>72.33</v>
      </c>
    </row>
    <row r="1609" spans="1:4" x14ac:dyDescent="0.3">
      <c r="A1609" t="s">
        <v>96</v>
      </c>
      <c r="B1609" t="s">
        <v>1460</v>
      </c>
      <c r="C1609">
        <v>88.92</v>
      </c>
      <c r="D1609">
        <v>24.01</v>
      </c>
    </row>
    <row r="1610" spans="1:4" x14ac:dyDescent="0.3">
      <c r="A1610" t="s">
        <v>96</v>
      </c>
      <c r="B1610" t="s">
        <v>1541</v>
      </c>
      <c r="C1610">
        <v>46.38</v>
      </c>
      <c r="D1610">
        <v>19.78</v>
      </c>
    </row>
    <row r="1611" spans="1:4" x14ac:dyDescent="0.3">
      <c r="A1611" t="s">
        <v>96</v>
      </c>
      <c r="B1611" t="s">
        <v>1606</v>
      </c>
      <c r="C1611">
        <v>67.03</v>
      </c>
      <c r="D1611">
        <v>15.52</v>
      </c>
    </row>
    <row r="1612" spans="1:4" x14ac:dyDescent="0.3">
      <c r="A1612" t="s">
        <v>1818</v>
      </c>
      <c r="B1612" t="s">
        <v>1819</v>
      </c>
      <c r="C1612">
        <v>36.159999999999997</v>
      </c>
      <c r="D1612">
        <v>3.62</v>
      </c>
    </row>
    <row r="1613" spans="1:4" x14ac:dyDescent="0.3">
      <c r="A1613" t="s">
        <v>1818</v>
      </c>
      <c r="B1613" t="s">
        <v>2013</v>
      </c>
      <c r="C1613">
        <v>329.95</v>
      </c>
      <c r="D1613">
        <v>-48.58</v>
      </c>
    </row>
    <row r="1614" spans="1:4" x14ac:dyDescent="0.3">
      <c r="A1614" t="s">
        <v>1887</v>
      </c>
      <c r="B1614" t="s">
        <v>1888</v>
      </c>
      <c r="C1614">
        <v>44.03</v>
      </c>
      <c r="D1614">
        <v>-2.02</v>
      </c>
    </row>
    <row r="1615" spans="1:4" x14ac:dyDescent="0.3">
      <c r="A1615" t="s">
        <v>855</v>
      </c>
      <c r="B1615" t="s">
        <v>856</v>
      </c>
      <c r="C1615">
        <v>258.05</v>
      </c>
      <c r="D1615">
        <v>90.21</v>
      </c>
    </row>
    <row r="1616" spans="1:4" x14ac:dyDescent="0.3">
      <c r="A1616" t="s">
        <v>855</v>
      </c>
      <c r="B1616" t="s">
        <v>1695</v>
      </c>
      <c r="C1616">
        <v>45.14</v>
      </c>
      <c r="D1616">
        <v>10.19</v>
      </c>
    </row>
    <row r="1617" spans="1:4" x14ac:dyDescent="0.3">
      <c r="A1617" t="s">
        <v>1446</v>
      </c>
      <c r="B1617" t="s">
        <v>1447</v>
      </c>
      <c r="C1617">
        <v>148.03</v>
      </c>
      <c r="D1617">
        <v>24.67</v>
      </c>
    </row>
    <row r="1618" spans="1:4" x14ac:dyDescent="0.3">
      <c r="A1618" t="s">
        <v>1446</v>
      </c>
      <c r="B1618" t="s">
        <v>1813</v>
      </c>
      <c r="C1618">
        <v>21.17</v>
      </c>
      <c r="D1618">
        <v>3.76</v>
      </c>
    </row>
    <row r="1619" spans="1:4" x14ac:dyDescent="0.3">
      <c r="A1619" t="s">
        <v>527</v>
      </c>
      <c r="B1619" t="s">
        <v>528</v>
      </c>
      <c r="C1619">
        <v>570.78</v>
      </c>
      <c r="D1619">
        <v>225.05</v>
      </c>
    </row>
    <row r="1620" spans="1:4" x14ac:dyDescent="0.3">
      <c r="A1620" t="s">
        <v>527</v>
      </c>
      <c r="B1620" t="s">
        <v>596</v>
      </c>
      <c r="C1620">
        <v>406.46</v>
      </c>
      <c r="D1620">
        <v>178.7</v>
      </c>
    </row>
    <row r="1621" spans="1:4" x14ac:dyDescent="0.3">
      <c r="A1621" t="s">
        <v>527</v>
      </c>
      <c r="B1621" t="s">
        <v>673</v>
      </c>
      <c r="C1621">
        <v>1631.95</v>
      </c>
      <c r="D1621">
        <v>142.80000000000001</v>
      </c>
    </row>
    <row r="1622" spans="1:4" x14ac:dyDescent="0.3">
      <c r="A1622" t="s">
        <v>527</v>
      </c>
      <c r="B1622" t="s">
        <v>1568</v>
      </c>
      <c r="C1622">
        <v>157.91999999999999</v>
      </c>
      <c r="D1622">
        <v>17.77</v>
      </c>
    </row>
    <row r="1623" spans="1:4" x14ac:dyDescent="0.3">
      <c r="A1623" t="s">
        <v>527</v>
      </c>
      <c r="B1623" t="s">
        <v>1988</v>
      </c>
      <c r="C1623">
        <v>258.72000000000003</v>
      </c>
      <c r="D1623">
        <v>-27.17</v>
      </c>
    </row>
    <row r="1624" spans="1:4" x14ac:dyDescent="0.3">
      <c r="A1624" t="s">
        <v>527</v>
      </c>
      <c r="B1624" t="s">
        <v>2182</v>
      </c>
      <c r="C1624">
        <v>2740.2</v>
      </c>
      <c r="D1624">
        <v>-975.1</v>
      </c>
    </row>
    <row r="1625" spans="1:4" x14ac:dyDescent="0.3">
      <c r="A1625" t="s">
        <v>37</v>
      </c>
      <c r="B1625" t="s">
        <v>38</v>
      </c>
      <c r="C1625">
        <v>27453.38</v>
      </c>
      <c r="D1625">
        <v>7753.04</v>
      </c>
    </row>
    <row r="1626" spans="1:4" x14ac:dyDescent="0.3">
      <c r="A1626" t="s">
        <v>37</v>
      </c>
      <c r="B1626" t="s">
        <v>64</v>
      </c>
      <c r="C1626">
        <v>7985.38</v>
      </c>
      <c r="D1626">
        <v>2318.34</v>
      </c>
    </row>
    <row r="1627" spans="1:4" x14ac:dyDescent="0.3">
      <c r="A1627" t="s">
        <v>37</v>
      </c>
      <c r="B1627" t="s">
        <v>90</v>
      </c>
      <c r="C1627">
        <v>6574.54</v>
      </c>
      <c r="D1627">
        <v>1640.53</v>
      </c>
    </row>
    <row r="1628" spans="1:4" x14ac:dyDescent="0.3">
      <c r="A1628" t="s">
        <v>37</v>
      </c>
      <c r="B1628" t="s">
        <v>110</v>
      </c>
      <c r="C1628">
        <v>5572.79</v>
      </c>
      <c r="D1628">
        <v>1380.72</v>
      </c>
    </row>
    <row r="1629" spans="1:4" x14ac:dyDescent="0.3">
      <c r="A1629" t="s">
        <v>37</v>
      </c>
      <c r="B1629" t="s">
        <v>172</v>
      </c>
      <c r="C1629">
        <v>6450.23</v>
      </c>
      <c r="D1629">
        <v>868.56</v>
      </c>
    </row>
    <row r="1630" spans="1:4" x14ac:dyDescent="0.3">
      <c r="A1630" t="s">
        <v>37</v>
      </c>
      <c r="B1630" t="s">
        <v>274</v>
      </c>
      <c r="C1630">
        <v>1615.8</v>
      </c>
      <c r="D1630">
        <v>540.73</v>
      </c>
    </row>
    <row r="1631" spans="1:4" x14ac:dyDescent="0.3">
      <c r="A1631" t="s">
        <v>37</v>
      </c>
      <c r="B1631" t="s">
        <v>318</v>
      </c>
      <c r="C1631">
        <v>4006.44</v>
      </c>
      <c r="D1631">
        <v>473.34</v>
      </c>
    </row>
    <row r="1632" spans="1:4" x14ac:dyDescent="0.3">
      <c r="A1632" t="s">
        <v>37</v>
      </c>
      <c r="B1632" t="s">
        <v>351</v>
      </c>
      <c r="C1632">
        <v>1857.25</v>
      </c>
      <c r="D1632">
        <v>414.92</v>
      </c>
    </row>
    <row r="1633" spans="1:4" x14ac:dyDescent="0.3">
      <c r="A1633" t="s">
        <v>37</v>
      </c>
      <c r="B1633" t="s">
        <v>358</v>
      </c>
      <c r="C1633">
        <v>2487.7600000000002</v>
      </c>
      <c r="D1633">
        <v>410.35</v>
      </c>
    </row>
    <row r="1634" spans="1:4" x14ac:dyDescent="0.3">
      <c r="A1634" t="s">
        <v>37</v>
      </c>
      <c r="B1634" t="s">
        <v>457</v>
      </c>
      <c r="C1634">
        <v>2185.9499999999998</v>
      </c>
      <c r="D1634">
        <v>283.75</v>
      </c>
    </row>
    <row r="1635" spans="1:4" x14ac:dyDescent="0.3">
      <c r="A1635" t="s">
        <v>37</v>
      </c>
      <c r="B1635" t="s">
        <v>464</v>
      </c>
      <c r="C1635">
        <v>597.07000000000005</v>
      </c>
      <c r="D1635">
        <v>278.95999999999998</v>
      </c>
    </row>
    <row r="1636" spans="1:4" x14ac:dyDescent="0.3">
      <c r="A1636" t="s">
        <v>37</v>
      </c>
      <c r="B1636" t="s">
        <v>481</v>
      </c>
      <c r="C1636">
        <v>1326.04</v>
      </c>
      <c r="D1636">
        <v>260.45999999999998</v>
      </c>
    </row>
    <row r="1637" spans="1:4" x14ac:dyDescent="0.3">
      <c r="A1637" t="s">
        <v>37</v>
      </c>
      <c r="B1637" t="s">
        <v>496</v>
      </c>
      <c r="C1637">
        <v>949.03</v>
      </c>
      <c r="D1637">
        <v>247.57</v>
      </c>
    </row>
    <row r="1638" spans="1:4" x14ac:dyDescent="0.3">
      <c r="A1638" t="s">
        <v>37</v>
      </c>
      <c r="B1638" t="s">
        <v>519</v>
      </c>
      <c r="C1638">
        <v>1385.79</v>
      </c>
      <c r="D1638">
        <v>229.65</v>
      </c>
    </row>
    <row r="1639" spans="1:4" x14ac:dyDescent="0.3">
      <c r="A1639" t="s">
        <v>37</v>
      </c>
      <c r="B1639" t="s">
        <v>608</v>
      </c>
      <c r="C1639">
        <v>881.19</v>
      </c>
      <c r="D1639">
        <v>170.85</v>
      </c>
    </row>
    <row r="1640" spans="1:4" x14ac:dyDescent="0.3">
      <c r="A1640" t="s">
        <v>37</v>
      </c>
      <c r="B1640" t="s">
        <v>625</v>
      </c>
      <c r="C1640">
        <v>569.24</v>
      </c>
      <c r="D1640">
        <v>162.63999999999999</v>
      </c>
    </row>
    <row r="1641" spans="1:4" x14ac:dyDescent="0.3">
      <c r="A1641" t="s">
        <v>37</v>
      </c>
      <c r="B1641" t="s">
        <v>638</v>
      </c>
      <c r="C1641">
        <v>592.6</v>
      </c>
      <c r="D1641">
        <v>156.16</v>
      </c>
    </row>
    <row r="1642" spans="1:4" x14ac:dyDescent="0.3">
      <c r="A1642" t="s">
        <v>37</v>
      </c>
      <c r="B1642" t="s">
        <v>675</v>
      </c>
      <c r="C1642">
        <v>565.39</v>
      </c>
      <c r="D1642">
        <v>140.94</v>
      </c>
    </row>
    <row r="1643" spans="1:4" x14ac:dyDescent="0.3">
      <c r="A1643" t="s">
        <v>37</v>
      </c>
      <c r="B1643" t="s">
        <v>683</v>
      </c>
      <c r="C1643">
        <v>1100.4000000000001</v>
      </c>
      <c r="D1643">
        <v>138.34</v>
      </c>
    </row>
    <row r="1644" spans="1:4" x14ac:dyDescent="0.3">
      <c r="A1644" t="s">
        <v>37</v>
      </c>
      <c r="B1644" t="s">
        <v>699</v>
      </c>
      <c r="C1644">
        <v>385.8</v>
      </c>
      <c r="D1644">
        <v>130.21</v>
      </c>
    </row>
    <row r="1645" spans="1:4" x14ac:dyDescent="0.3">
      <c r="A1645" t="s">
        <v>37</v>
      </c>
      <c r="B1645" t="s">
        <v>708</v>
      </c>
      <c r="C1645">
        <v>614.05999999999995</v>
      </c>
      <c r="D1645">
        <v>127.45</v>
      </c>
    </row>
    <row r="1646" spans="1:4" x14ac:dyDescent="0.3">
      <c r="A1646" t="s">
        <v>37</v>
      </c>
      <c r="B1646" t="s">
        <v>737</v>
      </c>
      <c r="C1646">
        <v>708</v>
      </c>
      <c r="D1646">
        <v>120.36</v>
      </c>
    </row>
    <row r="1647" spans="1:4" x14ac:dyDescent="0.3">
      <c r="A1647" t="s">
        <v>37</v>
      </c>
      <c r="B1647" t="s">
        <v>739</v>
      </c>
      <c r="C1647">
        <v>571.20000000000005</v>
      </c>
      <c r="D1647">
        <v>119.95</v>
      </c>
    </row>
    <row r="1648" spans="1:4" x14ac:dyDescent="0.3">
      <c r="A1648" t="s">
        <v>37</v>
      </c>
      <c r="B1648" t="s">
        <v>740</v>
      </c>
      <c r="C1648">
        <v>296.18</v>
      </c>
      <c r="D1648">
        <v>119.74</v>
      </c>
    </row>
    <row r="1649" spans="1:4" x14ac:dyDescent="0.3">
      <c r="A1649" t="s">
        <v>37</v>
      </c>
      <c r="B1649" t="s">
        <v>786</v>
      </c>
      <c r="C1649">
        <v>575.46</v>
      </c>
      <c r="D1649">
        <v>107.42</v>
      </c>
    </row>
    <row r="1650" spans="1:4" x14ac:dyDescent="0.3">
      <c r="A1650" t="s">
        <v>37</v>
      </c>
      <c r="B1650" t="s">
        <v>804</v>
      </c>
      <c r="C1650">
        <v>6751.6</v>
      </c>
      <c r="D1650">
        <v>102.3</v>
      </c>
    </row>
    <row r="1651" spans="1:4" x14ac:dyDescent="0.3">
      <c r="A1651" t="s">
        <v>37</v>
      </c>
      <c r="B1651" t="s">
        <v>811</v>
      </c>
      <c r="C1651">
        <v>3354.89</v>
      </c>
      <c r="D1651">
        <v>100.21</v>
      </c>
    </row>
    <row r="1652" spans="1:4" x14ac:dyDescent="0.3">
      <c r="A1652" t="s">
        <v>37</v>
      </c>
      <c r="B1652" t="s">
        <v>826</v>
      </c>
      <c r="C1652">
        <v>542.98</v>
      </c>
      <c r="D1652">
        <v>95.2</v>
      </c>
    </row>
    <row r="1653" spans="1:4" x14ac:dyDescent="0.3">
      <c r="A1653" t="s">
        <v>37</v>
      </c>
      <c r="B1653" t="s">
        <v>848</v>
      </c>
      <c r="C1653">
        <v>259.8</v>
      </c>
      <c r="D1653">
        <v>90.93</v>
      </c>
    </row>
    <row r="1654" spans="1:4" x14ac:dyDescent="0.3">
      <c r="A1654" t="s">
        <v>37</v>
      </c>
      <c r="B1654" t="s">
        <v>901</v>
      </c>
      <c r="C1654">
        <v>177.6</v>
      </c>
      <c r="D1654">
        <v>81.400000000000006</v>
      </c>
    </row>
    <row r="1655" spans="1:4" x14ac:dyDescent="0.3">
      <c r="A1655" t="s">
        <v>37</v>
      </c>
      <c r="B1655" t="s">
        <v>912</v>
      </c>
      <c r="C1655">
        <v>169.78</v>
      </c>
      <c r="D1655">
        <v>78.8</v>
      </c>
    </row>
    <row r="1656" spans="1:4" x14ac:dyDescent="0.3">
      <c r="A1656" t="s">
        <v>37</v>
      </c>
      <c r="B1656" t="s">
        <v>942</v>
      </c>
      <c r="C1656">
        <v>1268.7</v>
      </c>
      <c r="D1656">
        <v>73.19</v>
      </c>
    </row>
    <row r="1657" spans="1:4" x14ac:dyDescent="0.3">
      <c r="A1657" t="s">
        <v>37</v>
      </c>
      <c r="B1657" t="s">
        <v>977</v>
      </c>
      <c r="C1657">
        <v>357.62</v>
      </c>
      <c r="D1657">
        <v>67.77</v>
      </c>
    </row>
    <row r="1658" spans="1:4" x14ac:dyDescent="0.3">
      <c r="A1658" t="s">
        <v>37</v>
      </c>
      <c r="B1658" t="s">
        <v>1026</v>
      </c>
      <c r="C1658">
        <v>128.16</v>
      </c>
      <c r="D1658">
        <v>60.14</v>
      </c>
    </row>
    <row r="1659" spans="1:4" x14ac:dyDescent="0.3">
      <c r="A1659" t="s">
        <v>37</v>
      </c>
      <c r="B1659" t="s">
        <v>1054</v>
      </c>
      <c r="C1659">
        <v>582.67999999999995</v>
      </c>
      <c r="D1659">
        <v>57.33</v>
      </c>
    </row>
    <row r="1660" spans="1:4" x14ac:dyDescent="0.3">
      <c r="A1660" t="s">
        <v>37</v>
      </c>
      <c r="B1660" t="s">
        <v>1066</v>
      </c>
      <c r="C1660">
        <v>180.31</v>
      </c>
      <c r="D1660">
        <v>55.82</v>
      </c>
    </row>
    <row r="1661" spans="1:4" x14ac:dyDescent="0.3">
      <c r="A1661" t="s">
        <v>37</v>
      </c>
      <c r="B1661" t="s">
        <v>1099</v>
      </c>
      <c r="C1661">
        <v>479.72</v>
      </c>
      <c r="D1661">
        <v>52.77</v>
      </c>
    </row>
    <row r="1662" spans="1:4" x14ac:dyDescent="0.3">
      <c r="A1662" t="s">
        <v>37</v>
      </c>
      <c r="B1662" t="s">
        <v>1105</v>
      </c>
      <c r="C1662">
        <v>125.17</v>
      </c>
      <c r="D1662">
        <v>52.37</v>
      </c>
    </row>
    <row r="1663" spans="1:4" x14ac:dyDescent="0.3">
      <c r="A1663" t="s">
        <v>37</v>
      </c>
      <c r="B1663" t="s">
        <v>1112</v>
      </c>
      <c r="C1663">
        <v>121.35</v>
      </c>
      <c r="D1663">
        <v>51.61</v>
      </c>
    </row>
    <row r="1664" spans="1:4" x14ac:dyDescent="0.3">
      <c r="A1664" t="s">
        <v>37</v>
      </c>
      <c r="B1664" t="s">
        <v>1166</v>
      </c>
      <c r="C1664">
        <v>600.47</v>
      </c>
      <c r="D1664">
        <v>47.31</v>
      </c>
    </row>
    <row r="1665" spans="1:4" x14ac:dyDescent="0.3">
      <c r="A1665" t="s">
        <v>37</v>
      </c>
      <c r="B1665" t="s">
        <v>1167</v>
      </c>
      <c r="C1665">
        <v>1154.6600000000001</v>
      </c>
      <c r="D1665">
        <v>47.28</v>
      </c>
    </row>
    <row r="1666" spans="1:4" x14ac:dyDescent="0.3">
      <c r="A1666" t="s">
        <v>37</v>
      </c>
      <c r="B1666" t="s">
        <v>1171</v>
      </c>
      <c r="C1666">
        <v>97.2</v>
      </c>
      <c r="D1666">
        <v>46.66</v>
      </c>
    </row>
    <row r="1667" spans="1:4" x14ac:dyDescent="0.3">
      <c r="A1667" t="s">
        <v>37</v>
      </c>
      <c r="B1667" t="s">
        <v>1189</v>
      </c>
      <c r="C1667">
        <v>115.19</v>
      </c>
      <c r="D1667">
        <v>44.72</v>
      </c>
    </row>
    <row r="1668" spans="1:4" x14ac:dyDescent="0.3">
      <c r="A1668" t="s">
        <v>37</v>
      </c>
      <c r="B1668" t="s">
        <v>1283</v>
      </c>
      <c r="C1668">
        <v>128.69999999999999</v>
      </c>
      <c r="D1668">
        <v>37.44</v>
      </c>
    </row>
    <row r="1669" spans="1:4" x14ac:dyDescent="0.3">
      <c r="A1669" t="s">
        <v>37</v>
      </c>
      <c r="B1669" t="s">
        <v>1300</v>
      </c>
      <c r="C1669">
        <v>83.43</v>
      </c>
      <c r="D1669">
        <v>36.590000000000003</v>
      </c>
    </row>
    <row r="1670" spans="1:4" x14ac:dyDescent="0.3">
      <c r="A1670" t="s">
        <v>37</v>
      </c>
      <c r="B1670" t="s">
        <v>1329</v>
      </c>
      <c r="C1670">
        <v>1007.4</v>
      </c>
      <c r="D1670">
        <v>33.81</v>
      </c>
    </row>
    <row r="1671" spans="1:4" x14ac:dyDescent="0.3">
      <c r="A1671" t="s">
        <v>37</v>
      </c>
      <c r="B1671" t="s">
        <v>1373</v>
      </c>
      <c r="C1671">
        <v>101.94</v>
      </c>
      <c r="D1671">
        <v>30.58</v>
      </c>
    </row>
    <row r="1672" spans="1:4" x14ac:dyDescent="0.3">
      <c r="A1672" t="s">
        <v>37</v>
      </c>
      <c r="B1672" t="s">
        <v>1470</v>
      </c>
      <c r="C1672">
        <v>176.7</v>
      </c>
      <c r="D1672">
        <v>23.32</v>
      </c>
    </row>
    <row r="1673" spans="1:4" x14ac:dyDescent="0.3">
      <c r="A1673" t="s">
        <v>37</v>
      </c>
      <c r="B1673" t="s">
        <v>1481</v>
      </c>
      <c r="C1673">
        <v>99.32</v>
      </c>
      <c r="D1673">
        <v>22.91</v>
      </c>
    </row>
    <row r="1674" spans="1:4" x14ac:dyDescent="0.3">
      <c r="A1674" t="s">
        <v>37</v>
      </c>
      <c r="B1674" t="s">
        <v>1482</v>
      </c>
      <c r="C1674">
        <v>87.65</v>
      </c>
      <c r="D1674">
        <v>22.91</v>
      </c>
    </row>
    <row r="1675" spans="1:4" x14ac:dyDescent="0.3">
      <c r="A1675" t="s">
        <v>37</v>
      </c>
      <c r="B1675" t="s">
        <v>1490</v>
      </c>
      <c r="C1675">
        <v>49.95</v>
      </c>
      <c r="D1675">
        <v>22.48</v>
      </c>
    </row>
    <row r="1676" spans="1:4" x14ac:dyDescent="0.3">
      <c r="A1676" t="s">
        <v>37</v>
      </c>
      <c r="B1676" t="s">
        <v>1518</v>
      </c>
      <c r="C1676">
        <v>79.17</v>
      </c>
      <c r="D1676">
        <v>21.09</v>
      </c>
    </row>
    <row r="1677" spans="1:4" x14ac:dyDescent="0.3">
      <c r="A1677" t="s">
        <v>37</v>
      </c>
      <c r="B1677" t="s">
        <v>1525</v>
      </c>
      <c r="C1677">
        <v>125.79</v>
      </c>
      <c r="D1677">
        <v>20.77</v>
      </c>
    </row>
    <row r="1678" spans="1:4" x14ac:dyDescent="0.3">
      <c r="A1678" t="s">
        <v>37</v>
      </c>
      <c r="B1678" t="s">
        <v>1532</v>
      </c>
      <c r="C1678">
        <v>76.650000000000006</v>
      </c>
      <c r="D1678">
        <v>20.440000000000001</v>
      </c>
    </row>
    <row r="1679" spans="1:4" x14ac:dyDescent="0.3">
      <c r="A1679" t="s">
        <v>37</v>
      </c>
      <c r="B1679" t="s">
        <v>1618</v>
      </c>
      <c r="C1679">
        <v>72.040000000000006</v>
      </c>
      <c r="D1679">
        <v>15.08</v>
      </c>
    </row>
    <row r="1680" spans="1:4" x14ac:dyDescent="0.3">
      <c r="A1680" t="s">
        <v>37</v>
      </c>
      <c r="B1680" t="s">
        <v>1660</v>
      </c>
      <c r="C1680">
        <v>29.7</v>
      </c>
      <c r="D1680">
        <v>13.07</v>
      </c>
    </row>
    <row r="1681" spans="1:4" x14ac:dyDescent="0.3">
      <c r="A1681" t="s">
        <v>37</v>
      </c>
      <c r="B1681" t="s">
        <v>1687</v>
      </c>
      <c r="C1681">
        <v>59.8</v>
      </c>
      <c r="D1681">
        <v>11.12</v>
      </c>
    </row>
    <row r="1682" spans="1:4" x14ac:dyDescent="0.3">
      <c r="A1682" t="s">
        <v>37</v>
      </c>
      <c r="B1682" t="s">
        <v>1723</v>
      </c>
      <c r="C1682">
        <v>33.76</v>
      </c>
      <c r="D1682">
        <v>8.91</v>
      </c>
    </row>
    <row r="1683" spans="1:4" x14ac:dyDescent="0.3">
      <c r="A1683" t="s">
        <v>37</v>
      </c>
      <c r="B1683" t="s">
        <v>1724</v>
      </c>
      <c r="C1683">
        <v>175.78</v>
      </c>
      <c r="D1683">
        <v>8.7899999999999991</v>
      </c>
    </row>
    <row r="1684" spans="1:4" x14ac:dyDescent="0.3">
      <c r="A1684" t="s">
        <v>37</v>
      </c>
      <c r="B1684" t="s">
        <v>1766</v>
      </c>
      <c r="C1684">
        <v>12.96</v>
      </c>
      <c r="D1684">
        <v>6.35</v>
      </c>
    </row>
    <row r="1685" spans="1:4" x14ac:dyDescent="0.3">
      <c r="A1685" t="s">
        <v>37</v>
      </c>
      <c r="B1685" t="s">
        <v>1788</v>
      </c>
      <c r="C1685">
        <v>355.95</v>
      </c>
      <c r="D1685">
        <v>5.42</v>
      </c>
    </row>
    <row r="1686" spans="1:4" x14ac:dyDescent="0.3">
      <c r="A1686" t="s">
        <v>37</v>
      </c>
      <c r="B1686" t="s">
        <v>1873</v>
      </c>
      <c r="C1686">
        <v>348.22</v>
      </c>
      <c r="D1686">
        <v>-0.61</v>
      </c>
    </row>
    <row r="1687" spans="1:4" x14ac:dyDescent="0.3">
      <c r="A1687" t="s">
        <v>37</v>
      </c>
      <c r="B1687" t="s">
        <v>1889</v>
      </c>
      <c r="C1687">
        <v>11.09</v>
      </c>
      <c r="D1687">
        <v>-2.02</v>
      </c>
    </row>
    <row r="1688" spans="1:4" x14ac:dyDescent="0.3">
      <c r="A1688" t="s">
        <v>37</v>
      </c>
      <c r="B1688" t="s">
        <v>1917</v>
      </c>
      <c r="C1688">
        <v>78.14</v>
      </c>
      <c r="D1688">
        <v>-6.34</v>
      </c>
    </row>
    <row r="1689" spans="1:4" x14ac:dyDescent="0.3">
      <c r="A1689" t="s">
        <v>37</v>
      </c>
      <c r="B1689" t="s">
        <v>1959</v>
      </c>
      <c r="C1689">
        <v>82.95</v>
      </c>
      <c r="D1689">
        <v>-15.59</v>
      </c>
    </row>
    <row r="1690" spans="1:4" x14ac:dyDescent="0.3">
      <c r="A1690" t="s">
        <v>37</v>
      </c>
      <c r="B1690" t="s">
        <v>2012</v>
      </c>
      <c r="C1690">
        <v>849.31</v>
      </c>
      <c r="D1690">
        <v>-47.18</v>
      </c>
    </row>
    <row r="1691" spans="1:4" x14ac:dyDescent="0.3">
      <c r="A1691" t="s">
        <v>37</v>
      </c>
      <c r="B1691" t="s">
        <v>2019</v>
      </c>
      <c r="C1691">
        <v>223.89</v>
      </c>
      <c r="D1691">
        <v>-50.37</v>
      </c>
    </row>
    <row r="1692" spans="1:4" x14ac:dyDescent="0.3">
      <c r="A1692" t="s">
        <v>37</v>
      </c>
      <c r="B1692" t="s">
        <v>2025</v>
      </c>
      <c r="C1692">
        <v>2982.75</v>
      </c>
      <c r="D1692">
        <v>-57.27</v>
      </c>
    </row>
    <row r="1693" spans="1:4" x14ac:dyDescent="0.3">
      <c r="A1693" t="s">
        <v>37</v>
      </c>
      <c r="B1693" t="s">
        <v>2026</v>
      </c>
      <c r="C1693">
        <v>598.30999999999995</v>
      </c>
      <c r="D1693">
        <v>-57.37</v>
      </c>
    </row>
    <row r="1694" spans="1:4" x14ac:dyDescent="0.3">
      <c r="A1694" t="s">
        <v>37</v>
      </c>
      <c r="B1694" t="s">
        <v>2036</v>
      </c>
      <c r="C1694">
        <v>1875.03</v>
      </c>
      <c r="D1694">
        <v>-70.489999999999995</v>
      </c>
    </row>
    <row r="1695" spans="1:4" x14ac:dyDescent="0.3">
      <c r="A1695" t="s">
        <v>37</v>
      </c>
      <c r="B1695" t="s">
        <v>2058</v>
      </c>
      <c r="C1695">
        <v>1635.8</v>
      </c>
      <c r="D1695">
        <v>-110.13</v>
      </c>
    </row>
    <row r="1696" spans="1:4" x14ac:dyDescent="0.3">
      <c r="A1696" t="s">
        <v>37</v>
      </c>
      <c r="B1696" t="s">
        <v>2060</v>
      </c>
      <c r="C1696">
        <v>289.45999999999998</v>
      </c>
      <c r="D1696">
        <v>-113.77</v>
      </c>
    </row>
    <row r="1697" spans="1:4" x14ac:dyDescent="0.3">
      <c r="A1697" t="s">
        <v>37</v>
      </c>
      <c r="B1697" t="s">
        <v>2131</v>
      </c>
      <c r="C1697">
        <v>2027.3</v>
      </c>
      <c r="D1697">
        <v>-339.71</v>
      </c>
    </row>
    <row r="1698" spans="1:4" x14ac:dyDescent="0.3">
      <c r="A1698" t="s">
        <v>37</v>
      </c>
      <c r="B1698" t="s">
        <v>2190</v>
      </c>
      <c r="C1698">
        <v>17965.07</v>
      </c>
      <c r="D1698">
        <v>-1878.17</v>
      </c>
    </row>
    <row r="1699" spans="1:4" x14ac:dyDescent="0.3">
      <c r="A1699" t="s">
        <v>1391</v>
      </c>
      <c r="B1699" t="s">
        <v>1392</v>
      </c>
      <c r="C1699">
        <v>62.65</v>
      </c>
      <c r="D1699">
        <v>29.45</v>
      </c>
    </row>
    <row r="1700" spans="1:4" x14ac:dyDescent="0.3">
      <c r="A1700" t="s">
        <v>1535</v>
      </c>
      <c r="B1700" t="s">
        <v>1536</v>
      </c>
      <c r="C1700">
        <v>54.94</v>
      </c>
      <c r="D1700">
        <v>20.21</v>
      </c>
    </row>
    <row r="1701" spans="1:4" x14ac:dyDescent="0.3">
      <c r="A1701" t="s">
        <v>1535</v>
      </c>
      <c r="B1701" t="s">
        <v>1754</v>
      </c>
      <c r="C1701">
        <v>19.010000000000002</v>
      </c>
      <c r="D1701">
        <v>7.37</v>
      </c>
    </row>
    <row r="1702" spans="1:4" x14ac:dyDescent="0.3">
      <c r="A1702" t="s">
        <v>93</v>
      </c>
      <c r="B1702" t="s">
        <v>94</v>
      </c>
      <c r="C1702">
        <v>4322.8100000000004</v>
      </c>
      <c r="D1702">
        <v>1592.5</v>
      </c>
    </row>
    <row r="1703" spans="1:4" x14ac:dyDescent="0.3">
      <c r="A1703" t="s">
        <v>93</v>
      </c>
      <c r="B1703" t="s">
        <v>775</v>
      </c>
      <c r="C1703">
        <v>405.36</v>
      </c>
      <c r="D1703">
        <v>109.78</v>
      </c>
    </row>
    <row r="1704" spans="1:4" x14ac:dyDescent="0.3">
      <c r="A1704" t="s">
        <v>93</v>
      </c>
      <c r="B1704" t="s">
        <v>1434</v>
      </c>
      <c r="C1704">
        <v>53.76</v>
      </c>
      <c r="D1704">
        <v>25.8</v>
      </c>
    </row>
    <row r="1705" spans="1:4" x14ac:dyDescent="0.3">
      <c r="A1705" t="s">
        <v>93</v>
      </c>
      <c r="B1705" t="s">
        <v>1574</v>
      </c>
      <c r="C1705">
        <v>199.8</v>
      </c>
      <c r="D1705">
        <v>17.48</v>
      </c>
    </row>
    <row r="1706" spans="1:4" x14ac:dyDescent="0.3">
      <c r="A1706" t="s">
        <v>93</v>
      </c>
      <c r="B1706" t="s">
        <v>1765</v>
      </c>
      <c r="C1706">
        <v>17.940000000000001</v>
      </c>
      <c r="D1706">
        <v>6.46</v>
      </c>
    </row>
    <row r="1707" spans="1:4" x14ac:dyDescent="0.3">
      <c r="A1707" t="s">
        <v>416</v>
      </c>
      <c r="B1707" t="s">
        <v>417</v>
      </c>
      <c r="C1707">
        <v>684.74</v>
      </c>
      <c r="D1707">
        <v>321.83</v>
      </c>
    </row>
    <row r="1708" spans="1:4" x14ac:dyDescent="0.3">
      <c r="A1708" t="s">
        <v>593</v>
      </c>
      <c r="B1708" t="s">
        <v>594</v>
      </c>
      <c r="C1708">
        <v>2396.4</v>
      </c>
      <c r="D1708">
        <v>179.73</v>
      </c>
    </row>
    <row r="1709" spans="1:4" x14ac:dyDescent="0.3">
      <c r="A1709" t="s">
        <v>1713</v>
      </c>
      <c r="B1709" t="s">
        <v>1714</v>
      </c>
      <c r="C1709">
        <v>37.549999999999997</v>
      </c>
      <c r="D1709">
        <v>9.27</v>
      </c>
    </row>
    <row r="1710" spans="1:4" x14ac:dyDescent="0.3">
      <c r="A1710" t="s">
        <v>100</v>
      </c>
      <c r="B1710" t="s">
        <v>101</v>
      </c>
      <c r="C1710">
        <v>3855.18</v>
      </c>
      <c r="D1710">
        <v>1503.52</v>
      </c>
    </row>
    <row r="1711" spans="1:4" x14ac:dyDescent="0.3">
      <c r="A1711" t="s">
        <v>100</v>
      </c>
      <c r="B1711" t="s">
        <v>138</v>
      </c>
      <c r="C1711">
        <v>4778.7700000000004</v>
      </c>
      <c r="D1711">
        <v>1106.6600000000001</v>
      </c>
    </row>
    <row r="1712" spans="1:4" x14ac:dyDescent="0.3">
      <c r="A1712" t="s">
        <v>100</v>
      </c>
      <c r="B1712" t="s">
        <v>153</v>
      </c>
      <c r="C1712">
        <v>3999.92</v>
      </c>
      <c r="D1712">
        <v>1039.98</v>
      </c>
    </row>
    <row r="1713" spans="1:4" x14ac:dyDescent="0.3">
      <c r="A1713" t="s">
        <v>100</v>
      </c>
      <c r="B1713" t="s">
        <v>202</v>
      </c>
      <c r="C1713">
        <v>1565.82</v>
      </c>
      <c r="D1713">
        <v>729.62</v>
      </c>
    </row>
    <row r="1714" spans="1:4" x14ac:dyDescent="0.3">
      <c r="A1714" t="s">
        <v>100</v>
      </c>
      <c r="B1714" t="s">
        <v>244</v>
      </c>
      <c r="C1714">
        <v>1979.88</v>
      </c>
      <c r="D1714">
        <v>593.96</v>
      </c>
    </row>
    <row r="1715" spans="1:4" x14ac:dyDescent="0.3">
      <c r="A1715" t="s">
        <v>100</v>
      </c>
      <c r="B1715" t="s">
        <v>323</v>
      </c>
      <c r="C1715">
        <v>6776.56</v>
      </c>
      <c r="D1715">
        <v>461.13</v>
      </c>
    </row>
    <row r="1716" spans="1:4" x14ac:dyDescent="0.3">
      <c r="A1716" t="s">
        <v>100</v>
      </c>
      <c r="B1716" t="s">
        <v>327</v>
      </c>
      <c r="C1716">
        <v>1184.23</v>
      </c>
      <c r="D1716">
        <v>448.76</v>
      </c>
    </row>
    <row r="1717" spans="1:4" x14ac:dyDescent="0.3">
      <c r="A1717" t="s">
        <v>100</v>
      </c>
      <c r="B1717" t="s">
        <v>343</v>
      </c>
      <c r="C1717">
        <v>956.3</v>
      </c>
      <c r="D1717">
        <v>423.74</v>
      </c>
    </row>
    <row r="1718" spans="1:4" x14ac:dyDescent="0.3">
      <c r="A1718" t="s">
        <v>100</v>
      </c>
      <c r="B1718" t="s">
        <v>408</v>
      </c>
      <c r="C1718">
        <v>1159.9000000000001</v>
      </c>
      <c r="D1718">
        <v>336.37</v>
      </c>
    </row>
    <row r="1719" spans="1:4" x14ac:dyDescent="0.3">
      <c r="A1719" t="s">
        <v>100</v>
      </c>
      <c r="B1719" t="s">
        <v>409</v>
      </c>
      <c r="C1719">
        <v>879.83</v>
      </c>
      <c r="D1719">
        <v>334.58</v>
      </c>
    </row>
    <row r="1720" spans="1:4" x14ac:dyDescent="0.3">
      <c r="A1720" t="s">
        <v>100</v>
      </c>
      <c r="B1720" t="s">
        <v>555</v>
      </c>
      <c r="C1720">
        <v>1354.28</v>
      </c>
      <c r="D1720">
        <v>202.91</v>
      </c>
    </row>
    <row r="1721" spans="1:4" x14ac:dyDescent="0.3">
      <c r="A1721" t="s">
        <v>100</v>
      </c>
      <c r="B1721" t="s">
        <v>780</v>
      </c>
      <c r="C1721">
        <v>389.7</v>
      </c>
      <c r="D1721">
        <v>109.12</v>
      </c>
    </row>
    <row r="1722" spans="1:4" x14ac:dyDescent="0.3">
      <c r="A1722" t="s">
        <v>100</v>
      </c>
      <c r="B1722" t="s">
        <v>801</v>
      </c>
      <c r="C1722">
        <v>235.56</v>
      </c>
      <c r="D1722">
        <v>102.75</v>
      </c>
    </row>
    <row r="1723" spans="1:4" x14ac:dyDescent="0.3">
      <c r="A1723" t="s">
        <v>100</v>
      </c>
      <c r="B1723" t="s">
        <v>982</v>
      </c>
      <c r="C1723">
        <v>344.59</v>
      </c>
      <c r="D1723">
        <v>67.3</v>
      </c>
    </row>
    <row r="1724" spans="1:4" x14ac:dyDescent="0.3">
      <c r="A1724" t="s">
        <v>100</v>
      </c>
      <c r="B1724" t="s">
        <v>984</v>
      </c>
      <c r="C1724">
        <v>184.54</v>
      </c>
      <c r="D1724">
        <v>67.099999999999994</v>
      </c>
    </row>
    <row r="1725" spans="1:4" x14ac:dyDescent="0.3">
      <c r="A1725" t="s">
        <v>100</v>
      </c>
      <c r="B1725" t="s">
        <v>1114</v>
      </c>
      <c r="C1725">
        <v>262.67</v>
      </c>
      <c r="D1725">
        <v>51.42</v>
      </c>
    </row>
    <row r="1726" spans="1:4" x14ac:dyDescent="0.3">
      <c r="A1726" t="s">
        <v>100</v>
      </c>
      <c r="B1726" t="s">
        <v>1226</v>
      </c>
      <c r="C1726">
        <v>154.34</v>
      </c>
      <c r="D1726">
        <v>42.3</v>
      </c>
    </row>
    <row r="1727" spans="1:4" x14ac:dyDescent="0.3">
      <c r="A1727" t="s">
        <v>100</v>
      </c>
      <c r="B1727" t="s">
        <v>1284</v>
      </c>
      <c r="C1727">
        <v>103.88</v>
      </c>
      <c r="D1727">
        <v>37.42</v>
      </c>
    </row>
    <row r="1728" spans="1:4" x14ac:dyDescent="0.3">
      <c r="A1728" t="s">
        <v>100</v>
      </c>
      <c r="B1728" t="s">
        <v>1493</v>
      </c>
      <c r="C1728">
        <v>53.57</v>
      </c>
      <c r="D1728">
        <v>22.46</v>
      </c>
    </row>
    <row r="1729" spans="1:4" x14ac:dyDescent="0.3">
      <c r="A1729" t="s">
        <v>100</v>
      </c>
      <c r="B1729" t="s">
        <v>1533</v>
      </c>
      <c r="C1729">
        <v>49.5</v>
      </c>
      <c r="D1729">
        <v>20.37</v>
      </c>
    </row>
    <row r="1730" spans="1:4" x14ac:dyDescent="0.3">
      <c r="A1730" t="s">
        <v>100</v>
      </c>
      <c r="B1730" t="s">
        <v>1547</v>
      </c>
      <c r="C1730">
        <v>86.08</v>
      </c>
      <c r="D1730">
        <v>19.13</v>
      </c>
    </row>
    <row r="1731" spans="1:4" x14ac:dyDescent="0.3">
      <c r="A1731" t="s">
        <v>100</v>
      </c>
      <c r="B1731" t="s">
        <v>1638</v>
      </c>
      <c r="C1731">
        <v>48.93</v>
      </c>
      <c r="D1731">
        <v>14.19</v>
      </c>
    </row>
    <row r="1732" spans="1:4" x14ac:dyDescent="0.3">
      <c r="A1732" t="s">
        <v>100</v>
      </c>
      <c r="B1732" t="s">
        <v>1744</v>
      </c>
      <c r="C1732">
        <v>57.4</v>
      </c>
      <c r="D1732">
        <v>7.81</v>
      </c>
    </row>
    <row r="1733" spans="1:4" x14ac:dyDescent="0.3">
      <c r="A1733" t="s">
        <v>100</v>
      </c>
      <c r="B1733" t="s">
        <v>1787</v>
      </c>
      <c r="C1733">
        <v>11.56</v>
      </c>
      <c r="D1733">
        <v>5.43</v>
      </c>
    </row>
    <row r="1734" spans="1:4" x14ac:dyDescent="0.3">
      <c r="A1734" t="s">
        <v>100</v>
      </c>
      <c r="B1734" t="s">
        <v>1809</v>
      </c>
      <c r="C1734">
        <v>28.21</v>
      </c>
      <c r="D1734">
        <v>4.26</v>
      </c>
    </row>
    <row r="1735" spans="1:4" x14ac:dyDescent="0.3">
      <c r="A1735" t="s">
        <v>100</v>
      </c>
      <c r="B1735" t="s">
        <v>1977</v>
      </c>
      <c r="C1735">
        <v>119.51</v>
      </c>
      <c r="D1735">
        <v>-20.52</v>
      </c>
    </row>
    <row r="1736" spans="1:4" x14ac:dyDescent="0.3">
      <c r="A1736" t="s">
        <v>100</v>
      </c>
      <c r="B1736" t="s">
        <v>1979</v>
      </c>
      <c r="C1736">
        <v>29.93</v>
      </c>
      <c r="D1736">
        <v>-21.95</v>
      </c>
    </row>
    <row r="1737" spans="1:4" x14ac:dyDescent="0.3">
      <c r="A1737" t="s">
        <v>100</v>
      </c>
      <c r="B1737" t="s">
        <v>2018</v>
      </c>
      <c r="C1737">
        <v>488.33</v>
      </c>
      <c r="D1737">
        <v>-48.83</v>
      </c>
    </row>
    <row r="1738" spans="1:4" x14ac:dyDescent="0.3">
      <c r="A1738" t="s">
        <v>100</v>
      </c>
      <c r="B1738" t="s">
        <v>2192</v>
      </c>
      <c r="C1738">
        <v>9917.64</v>
      </c>
      <c r="D1738">
        <v>-2876.12</v>
      </c>
    </row>
    <row r="1739" spans="1:4" x14ac:dyDescent="0.3">
      <c r="A1739" t="s">
        <v>1616</v>
      </c>
      <c r="B1739" t="s">
        <v>1617</v>
      </c>
      <c r="C1739">
        <v>37.24</v>
      </c>
      <c r="D1739">
        <v>15.09</v>
      </c>
    </row>
    <row r="1740" spans="1:4" x14ac:dyDescent="0.3">
      <c r="A1740" t="s">
        <v>1207</v>
      </c>
      <c r="B1740" t="s">
        <v>1208</v>
      </c>
      <c r="C1740">
        <v>88.38</v>
      </c>
      <c r="D1740">
        <v>43.31</v>
      </c>
    </row>
    <row r="1741" spans="1:4" x14ac:dyDescent="0.3">
      <c r="A1741" t="s">
        <v>1207</v>
      </c>
      <c r="B1741" t="s">
        <v>1246</v>
      </c>
      <c r="C1741">
        <v>89.7</v>
      </c>
      <c r="D1741">
        <v>40.369999999999997</v>
      </c>
    </row>
    <row r="1742" spans="1:4" x14ac:dyDescent="0.3">
      <c r="A1742" t="s">
        <v>1358</v>
      </c>
      <c r="B1742" t="s">
        <v>1359</v>
      </c>
      <c r="C1742">
        <v>93.25</v>
      </c>
      <c r="D1742">
        <v>31.47</v>
      </c>
    </row>
    <row r="1743" spans="1:4" x14ac:dyDescent="0.3">
      <c r="A1743" t="s">
        <v>1358</v>
      </c>
      <c r="B1743" t="s">
        <v>2021</v>
      </c>
      <c r="C1743">
        <v>1391.4</v>
      </c>
      <c r="D1743">
        <v>-55.66</v>
      </c>
    </row>
    <row r="1744" spans="1:4" x14ac:dyDescent="0.3">
      <c r="A1744" t="s">
        <v>2032</v>
      </c>
      <c r="B1744" t="s">
        <v>2033</v>
      </c>
      <c r="C1744">
        <v>68.88</v>
      </c>
      <c r="D1744">
        <v>-68.42</v>
      </c>
    </row>
    <row r="1745" spans="1:4" x14ac:dyDescent="0.3">
      <c r="A1745" t="s">
        <v>73</v>
      </c>
      <c r="B1745" t="s">
        <v>74</v>
      </c>
      <c r="C1745">
        <v>8138.23</v>
      </c>
      <c r="D1745">
        <v>2016.71</v>
      </c>
    </row>
    <row r="1746" spans="1:4" x14ac:dyDescent="0.3">
      <c r="A1746" t="s">
        <v>73</v>
      </c>
      <c r="B1746" t="s">
        <v>459</v>
      </c>
      <c r="C1746">
        <v>842.17</v>
      </c>
      <c r="D1746">
        <v>280.72000000000003</v>
      </c>
    </row>
    <row r="1747" spans="1:4" x14ac:dyDescent="0.3">
      <c r="A1747" t="s">
        <v>73</v>
      </c>
      <c r="B1747" t="s">
        <v>476</v>
      </c>
      <c r="C1747">
        <v>5989.2</v>
      </c>
      <c r="D1747">
        <v>267.3</v>
      </c>
    </row>
    <row r="1748" spans="1:4" x14ac:dyDescent="0.3">
      <c r="A1748" t="s">
        <v>73</v>
      </c>
      <c r="B1748" t="s">
        <v>477</v>
      </c>
      <c r="C1748">
        <v>867.26</v>
      </c>
      <c r="D1748">
        <v>266.07</v>
      </c>
    </row>
    <row r="1749" spans="1:4" x14ac:dyDescent="0.3">
      <c r="A1749" t="s">
        <v>73</v>
      </c>
      <c r="B1749" t="s">
        <v>508</v>
      </c>
      <c r="C1749">
        <v>516.62</v>
      </c>
      <c r="D1749">
        <v>236.33</v>
      </c>
    </row>
    <row r="1750" spans="1:4" x14ac:dyDescent="0.3">
      <c r="A1750" t="s">
        <v>73</v>
      </c>
      <c r="B1750" t="s">
        <v>610</v>
      </c>
      <c r="C1750">
        <v>405.96</v>
      </c>
      <c r="D1750">
        <v>169.21</v>
      </c>
    </row>
    <row r="1751" spans="1:4" x14ac:dyDescent="0.3">
      <c r="A1751" t="s">
        <v>73</v>
      </c>
      <c r="B1751" t="s">
        <v>769</v>
      </c>
      <c r="C1751">
        <v>705.21</v>
      </c>
      <c r="D1751">
        <v>111.54</v>
      </c>
    </row>
    <row r="1752" spans="1:4" x14ac:dyDescent="0.3">
      <c r="A1752" t="s">
        <v>73</v>
      </c>
      <c r="B1752" t="s">
        <v>832</v>
      </c>
      <c r="C1752">
        <v>308.99</v>
      </c>
      <c r="D1752">
        <v>94.52</v>
      </c>
    </row>
    <row r="1753" spans="1:4" x14ac:dyDescent="0.3">
      <c r="A1753" t="s">
        <v>73</v>
      </c>
      <c r="B1753" t="s">
        <v>1182</v>
      </c>
      <c r="C1753">
        <v>217.22</v>
      </c>
      <c r="D1753">
        <v>45.86</v>
      </c>
    </row>
    <row r="1754" spans="1:4" x14ac:dyDescent="0.3">
      <c r="A1754" t="s">
        <v>73</v>
      </c>
      <c r="B1754" t="s">
        <v>1512</v>
      </c>
      <c r="C1754">
        <v>208.22</v>
      </c>
      <c r="D1754">
        <v>21.58</v>
      </c>
    </row>
    <row r="1755" spans="1:4" x14ac:dyDescent="0.3">
      <c r="A1755" t="s">
        <v>73</v>
      </c>
      <c r="B1755" t="s">
        <v>1851</v>
      </c>
      <c r="C1755">
        <v>13</v>
      </c>
      <c r="D1755">
        <v>1.3</v>
      </c>
    </row>
    <row r="1756" spans="1:4" x14ac:dyDescent="0.3">
      <c r="A1756" t="s">
        <v>73</v>
      </c>
      <c r="B1756" t="s">
        <v>1923</v>
      </c>
      <c r="C1756">
        <v>262.75</v>
      </c>
      <c r="D1756">
        <v>-7.62</v>
      </c>
    </row>
    <row r="1757" spans="1:4" x14ac:dyDescent="0.3">
      <c r="A1757" t="s">
        <v>73</v>
      </c>
      <c r="B1757" t="s">
        <v>2002</v>
      </c>
      <c r="C1757">
        <v>66.569999999999993</v>
      </c>
      <c r="D1757">
        <v>-39.700000000000003</v>
      </c>
    </row>
    <row r="1758" spans="1:4" x14ac:dyDescent="0.3">
      <c r="A1758" t="s">
        <v>155</v>
      </c>
      <c r="B1758" t="s">
        <v>156</v>
      </c>
      <c r="C1758">
        <v>2865.6</v>
      </c>
      <c r="D1758">
        <v>967.14</v>
      </c>
    </row>
    <row r="1759" spans="1:4" x14ac:dyDescent="0.3">
      <c r="A1759" t="s">
        <v>155</v>
      </c>
      <c r="B1759" t="s">
        <v>998</v>
      </c>
      <c r="C1759">
        <v>477.93</v>
      </c>
      <c r="D1759">
        <v>64.709999999999994</v>
      </c>
    </row>
    <row r="1760" spans="1:4" x14ac:dyDescent="0.3">
      <c r="A1760" t="s">
        <v>155</v>
      </c>
      <c r="B1760" t="s">
        <v>1016</v>
      </c>
      <c r="C1760">
        <v>132.88999999999999</v>
      </c>
      <c r="D1760">
        <v>60.92</v>
      </c>
    </row>
    <row r="1761" spans="1:4" x14ac:dyDescent="0.3">
      <c r="A1761" t="s">
        <v>155</v>
      </c>
      <c r="B1761" t="s">
        <v>1621</v>
      </c>
      <c r="C1761">
        <v>36.71</v>
      </c>
      <c r="D1761">
        <v>15</v>
      </c>
    </row>
    <row r="1762" spans="1:4" x14ac:dyDescent="0.3">
      <c r="A1762" t="s">
        <v>155</v>
      </c>
      <c r="B1762" t="s">
        <v>1776</v>
      </c>
      <c r="C1762">
        <v>79.400000000000006</v>
      </c>
      <c r="D1762">
        <v>5.96</v>
      </c>
    </row>
    <row r="1763" spans="1:4" x14ac:dyDescent="0.3">
      <c r="A1763" t="s">
        <v>155</v>
      </c>
      <c r="B1763" t="s">
        <v>1980</v>
      </c>
      <c r="C1763">
        <v>136.32</v>
      </c>
      <c r="D1763">
        <v>-21.98</v>
      </c>
    </row>
    <row r="1764" spans="1:4" x14ac:dyDescent="0.3">
      <c r="A1764" t="s">
        <v>352</v>
      </c>
      <c r="B1764" t="s">
        <v>353</v>
      </c>
      <c r="C1764">
        <v>1947.18</v>
      </c>
      <c r="D1764">
        <v>413.65</v>
      </c>
    </row>
    <row r="1765" spans="1:4" x14ac:dyDescent="0.3">
      <c r="A1765" t="s">
        <v>242</v>
      </c>
      <c r="B1765" t="s">
        <v>243</v>
      </c>
      <c r="C1765">
        <v>3739.11</v>
      </c>
      <c r="D1765">
        <v>608.04</v>
      </c>
    </row>
    <row r="1766" spans="1:4" x14ac:dyDescent="0.3">
      <c r="A1766" t="s">
        <v>375</v>
      </c>
      <c r="B1766" t="s">
        <v>376</v>
      </c>
      <c r="C1766">
        <v>1247.8399999999999</v>
      </c>
      <c r="D1766">
        <v>377.55</v>
      </c>
    </row>
    <row r="1767" spans="1:4" x14ac:dyDescent="0.3">
      <c r="A1767" t="s">
        <v>332</v>
      </c>
      <c r="B1767" t="s">
        <v>333</v>
      </c>
      <c r="C1767">
        <v>6134.7</v>
      </c>
      <c r="D1767">
        <v>438.19</v>
      </c>
    </row>
    <row r="1768" spans="1:4" x14ac:dyDescent="0.3">
      <c r="A1768" t="s">
        <v>332</v>
      </c>
      <c r="B1768" t="s">
        <v>691</v>
      </c>
      <c r="C1768">
        <v>904.55</v>
      </c>
      <c r="D1768">
        <v>133.30000000000001</v>
      </c>
    </row>
    <row r="1769" spans="1:4" x14ac:dyDescent="0.3">
      <c r="A1769" t="s">
        <v>332</v>
      </c>
      <c r="B1769" t="s">
        <v>1640</v>
      </c>
      <c r="C1769">
        <v>61.54</v>
      </c>
      <c r="D1769">
        <v>14.07</v>
      </c>
    </row>
    <row r="1770" spans="1:4" x14ac:dyDescent="0.3">
      <c r="A1770" t="s">
        <v>332</v>
      </c>
      <c r="B1770" t="s">
        <v>1785</v>
      </c>
      <c r="C1770">
        <v>25.96</v>
      </c>
      <c r="D1770">
        <v>5.52</v>
      </c>
    </row>
    <row r="1771" spans="1:4" x14ac:dyDescent="0.3">
      <c r="A1771" t="s">
        <v>332</v>
      </c>
      <c r="B1771" t="s">
        <v>1930</v>
      </c>
      <c r="C1771">
        <v>661.94</v>
      </c>
      <c r="D1771">
        <v>-9.24</v>
      </c>
    </row>
    <row r="1772" spans="1:4" x14ac:dyDescent="0.3">
      <c r="A1772" t="s">
        <v>332</v>
      </c>
      <c r="B1772" t="s">
        <v>2141</v>
      </c>
      <c r="C1772">
        <v>917.92</v>
      </c>
      <c r="D1772">
        <v>-415.93</v>
      </c>
    </row>
    <row r="1773" spans="1:4" x14ac:dyDescent="0.3">
      <c r="A1773" t="s">
        <v>130</v>
      </c>
      <c r="B1773" t="s">
        <v>131</v>
      </c>
      <c r="C1773">
        <v>3753.26</v>
      </c>
      <c r="D1773">
        <v>1211.75</v>
      </c>
    </row>
    <row r="1774" spans="1:4" x14ac:dyDescent="0.3">
      <c r="A1774" t="s">
        <v>130</v>
      </c>
      <c r="B1774" t="s">
        <v>395</v>
      </c>
      <c r="C1774">
        <v>1315.66</v>
      </c>
      <c r="D1774">
        <v>350.28</v>
      </c>
    </row>
    <row r="1775" spans="1:4" x14ac:dyDescent="0.3">
      <c r="A1775" t="s">
        <v>130</v>
      </c>
      <c r="B1775" t="s">
        <v>623</v>
      </c>
      <c r="C1775">
        <v>895.86</v>
      </c>
      <c r="D1775">
        <v>163.37</v>
      </c>
    </row>
    <row r="1776" spans="1:4" x14ac:dyDescent="0.3">
      <c r="A1776" t="s">
        <v>130</v>
      </c>
      <c r="B1776" t="s">
        <v>820</v>
      </c>
      <c r="C1776">
        <v>261.25</v>
      </c>
      <c r="D1776">
        <v>97.35</v>
      </c>
    </row>
    <row r="1777" spans="1:4" x14ac:dyDescent="0.3">
      <c r="A1777" t="s">
        <v>130</v>
      </c>
      <c r="B1777" t="s">
        <v>864</v>
      </c>
      <c r="C1777">
        <v>254.06</v>
      </c>
      <c r="D1777">
        <v>89.1</v>
      </c>
    </row>
    <row r="1778" spans="1:4" x14ac:dyDescent="0.3">
      <c r="A1778" t="s">
        <v>130</v>
      </c>
      <c r="B1778" t="s">
        <v>892</v>
      </c>
      <c r="C1778">
        <v>181.44</v>
      </c>
      <c r="D1778">
        <v>83.72</v>
      </c>
    </row>
    <row r="1779" spans="1:4" x14ac:dyDescent="0.3">
      <c r="A1779" t="s">
        <v>130</v>
      </c>
      <c r="B1779" t="s">
        <v>996</v>
      </c>
      <c r="C1779">
        <v>246.13</v>
      </c>
      <c r="D1779">
        <v>64.77</v>
      </c>
    </row>
    <row r="1780" spans="1:4" x14ac:dyDescent="0.3">
      <c r="A1780" t="s">
        <v>130</v>
      </c>
      <c r="B1780" t="s">
        <v>1067</v>
      </c>
      <c r="C1780">
        <v>185.08</v>
      </c>
      <c r="D1780">
        <v>55.78</v>
      </c>
    </row>
    <row r="1781" spans="1:4" x14ac:dyDescent="0.3">
      <c r="A1781" t="s">
        <v>130</v>
      </c>
      <c r="B1781" t="s">
        <v>1157</v>
      </c>
      <c r="C1781">
        <v>150.66</v>
      </c>
      <c r="D1781">
        <v>48.17</v>
      </c>
    </row>
    <row r="1782" spans="1:4" x14ac:dyDescent="0.3">
      <c r="A1782" t="s">
        <v>130</v>
      </c>
      <c r="B1782" t="s">
        <v>2081</v>
      </c>
      <c r="C1782">
        <v>1427.55</v>
      </c>
      <c r="D1782">
        <v>-154.57</v>
      </c>
    </row>
    <row r="1783" spans="1:4" x14ac:dyDescent="0.3">
      <c r="A1783" t="s">
        <v>87</v>
      </c>
      <c r="B1783" t="s">
        <v>88</v>
      </c>
      <c r="C1783">
        <v>4399.92</v>
      </c>
      <c r="D1783">
        <v>1649.97</v>
      </c>
    </row>
    <row r="1784" spans="1:4" x14ac:dyDescent="0.3">
      <c r="A1784" t="s">
        <v>87</v>
      </c>
      <c r="B1784" t="s">
        <v>620</v>
      </c>
      <c r="C1784">
        <v>375.73</v>
      </c>
      <c r="D1784">
        <v>164.86</v>
      </c>
    </row>
    <row r="1785" spans="1:4" x14ac:dyDescent="0.3">
      <c r="A1785" t="s">
        <v>87</v>
      </c>
      <c r="B1785" t="s">
        <v>795</v>
      </c>
      <c r="C1785">
        <v>452.97</v>
      </c>
      <c r="D1785">
        <v>105.48</v>
      </c>
    </row>
    <row r="1786" spans="1:4" x14ac:dyDescent="0.3">
      <c r="A1786" t="s">
        <v>87</v>
      </c>
      <c r="B1786" t="s">
        <v>1063</v>
      </c>
      <c r="C1786">
        <v>170.62</v>
      </c>
      <c r="D1786">
        <v>56.04</v>
      </c>
    </row>
    <row r="1787" spans="1:4" x14ac:dyDescent="0.3">
      <c r="A1787" t="s">
        <v>1108</v>
      </c>
      <c r="B1787" t="s">
        <v>1109</v>
      </c>
      <c r="C1787">
        <v>108.68</v>
      </c>
      <c r="D1787">
        <v>52.12</v>
      </c>
    </row>
    <row r="1788" spans="1:4" x14ac:dyDescent="0.3">
      <c r="A1788" t="s">
        <v>1108</v>
      </c>
      <c r="B1788" t="s">
        <v>1121</v>
      </c>
      <c r="C1788">
        <v>147.03</v>
      </c>
      <c r="D1788">
        <v>50.72</v>
      </c>
    </row>
    <row r="1789" spans="1:4" x14ac:dyDescent="0.3">
      <c r="A1789" t="s">
        <v>1108</v>
      </c>
      <c r="B1789" t="s">
        <v>2142</v>
      </c>
      <c r="C1789">
        <v>1014.17</v>
      </c>
      <c r="D1789">
        <v>-418.55</v>
      </c>
    </row>
    <row r="1790" spans="1:4" x14ac:dyDescent="0.3">
      <c r="A1790" t="s">
        <v>498</v>
      </c>
      <c r="B1790" t="s">
        <v>499</v>
      </c>
      <c r="C1790">
        <v>755.91</v>
      </c>
      <c r="D1790">
        <v>244.74</v>
      </c>
    </row>
    <row r="1791" spans="1:4" x14ac:dyDescent="0.3">
      <c r="A1791" t="s">
        <v>498</v>
      </c>
      <c r="B1791" t="s">
        <v>954</v>
      </c>
      <c r="C1791">
        <v>263.33999999999997</v>
      </c>
      <c r="D1791">
        <v>72.069999999999993</v>
      </c>
    </row>
    <row r="1792" spans="1:4" x14ac:dyDescent="0.3">
      <c r="A1792" t="s">
        <v>498</v>
      </c>
      <c r="B1792" t="s">
        <v>1344</v>
      </c>
      <c r="C1792">
        <v>93.98</v>
      </c>
      <c r="D1792">
        <v>32.729999999999997</v>
      </c>
    </row>
    <row r="1793" spans="1:4" x14ac:dyDescent="0.3">
      <c r="A1793" t="s">
        <v>498</v>
      </c>
      <c r="B1793" t="s">
        <v>1521</v>
      </c>
      <c r="C1793">
        <v>1497</v>
      </c>
      <c r="D1793">
        <v>20.96</v>
      </c>
    </row>
    <row r="1794" spans="1:4" x14ac:dyDescent="0.3">
      <c r="A1794" t="s">
        <v>498</v>
      </c>
      <c r="B1794" t="s">
        <v>2006</v>
      </c>
      <c r="C1794">
        <v>1311.88</v>
      </c>
      <c r="D1794">
        <v>-42.11</v>
      </c>
    </row>
    <row r="1795" spans="1:4" x14ac:dyDescent="0.3">
      <c r="A1795" t="s">
        <v>498</v>
      </c>
      <c r="B1795" t="s">
        <v>2075</v>
      </c>
      <c r="C1795">
        <v>2200.46</v>
      </c>
      <c r="D1795">
        <v>-130.97999999999999</v>
      </c>
    </row>
    <row r="1796" spans="1:4" x14ac:dyDescent="0.3">
      <c r="A1796" t="s">
        <v>498</v>
      </c>
      <c r="B1796" t="s">
        <v>2114</v>
      </c>
      <c r="C1796">
        <v>1746.95</v>
      </c>
      <c r="D1796">
        <v>-246.39</v>
      </c>
    </row>
    <row r="1797" spans="1:4" x14ac:dyDescent="0.3">
      <c r="A1797" t="s">
        <v>258</v>
      </c>
      <c r="B1797" t="s">
        <v>259</v>
      </c>
      <c r="C1797">
        <v>2191.6799999999998</v>
      </c>
      <c r="D1797">
        <v>569.84</v>
      </c>
    </row>
    <row r="1798" spans="1:4" x14ac:dyDescent="0.3">
      <c r="A1798" t="s">
        <v>258</v>
      </c>
      <c r="B1798" t="s">
        <v>1290</v>
      </c>
      <c r="C1798">
        <v>84.24</v>
      </c>
      <c r="D1798">
        <v>37.07</v>
      </c>
    </row>
    <row r="1799" spans="1:4" x14ac:dyDescent="0.3">
      <c r="A1799" t="s">
        <v>258</v>
      </c>
      <c r="B1799" t="s">
        <v>1318</v>
      </c>
      <c r="C1799">
        <v>250.92</v>
      </c>
      <c r="D1799">
        <v>35.130000000000003</v>
      </c>
    </row>
    <row r="1800" spans="1:4" x14ac:dyDescent="0.3">
      <c r="A1800" t="s">
        <v>258</v>
      </c>
      <c r="B1800" t="s">
        <v>1514</v>
      </c>
      <c r="C1800">
        <v>113.2</v>
      </c>
      <c r="D1800">
        <v>21.55</v>
      </c>
    </row>
    <row r="1801" spans="1:4" x14ac:dyDescent="0.3">
      <c r="A1801" t="s">
        <v>258</v>
      </c>
      <c r="B1801" t="s">
        <v>1559</v>
      </c>
      <c r="C1801">
        <v>146.97999999999999</v>
      </c>
      <c r="D1801">
        <v>18.41</v>
      </c>
    </row>
    <row r="1802" spans="1:4" x14ac:dyDescent="0.3">
      <c r="A1802" t="s">
        <v>258</v>
      </c>
      <c r="B1802" t="s">
        <v>2035</v>
      </c>
      <c r="C1802">
        <v>197.17</v>
      </c>
      <c r="D1802">
        <v>-69.569999999999993</v>
      </c>
    </row>
    <row r="1803" spans="1:4" x14ac:dyDescent="0.3">
      <c r="A1803" t="s">
        <v>628</v>
      </c>
      <c r="B1803" t="s">
        <v>629</v>
      </c>
      <c r="C1803">
        <v>1119.8399999999999</v>
      </c>
      <c r="D1803">
        <v>162.38</v>
      </c>
    </row>
    <row r="1804" spans="1:4" x14ac:dyDescent="0.3">
      <c r="A1804" t="s">
        <v>628</v>
      </c>
      <c r="B1804" t="s">
        <v>712</v>
      </c>
      <c r="C1804">
        <v>277.38</v>
      </c>
      <c r="D1804">
        <v>126.68</v>
      </c>
    </row>
    <row r="1805" spans="1:4" x14ac:dyDescent="0.3">
      <c r="A1805" t="s">
        <v>513</v>
      </c>
      <c r="B1805" t="s">
        <v>514</v>
      </c>
      <c r="C1805">
        <v>1115.92</v>
      </c>
      <c r="D1805">
        <v>233.19</v>
      </c>
    </row>
    <row r="1806" spans="1:4" x14ac:dyDescent="0.3">
      <c r="A1806" t="s">
        <v>1310</v>
      </c>
      <c r="B1806" t="s">
        <v>1311</v>
      </c>
      <c r="C1806">
        <v>84.39</v>
      </c>
      <c r="D1806">
        <v>35.369999999999997</v>
      </c>
    </row>
    <row r="1807" spans="1:4" x14ac:dyDescent="0.3">
      <c r="A1807" t="s">
        <v>1310</v>
      </c>
      <c r="B1807" t="s">
        <v>1757</v>
      </c>
      <c r="C1807">
        <v>33.11</v>
      </c>
      <c r="D1807">
        <v>7.16</v>
      </c>
    </row>
    <row r="1808" spans="1:4" x14ac:dyDescent="0.3">
      <c r="A1808" t="s">
        <v>574</v>
      </c>
      <c r="B1808" t="s">
        <v>575</v>
      </c>
      <c r="C1808">
        <v>1716</v>
      </c>
      <c r="D1808">
        <v>193.05</v>
      </c>
    </row>
    <row r="1809" spans="1:4" x14ac:dyDescent="0.3">
      <c r="A1809" t="s">
        <v>574</v>
      </c>
      <c r="B1809" t="s">
        <v>624</v>
      </c>
      <c r="C1809">
        <v>779.42</v>
      </c>
      <c r="D1809">
        <v>162.87</v>
      </c>
    </row>
    <row r="1810" spans="1:4" x14ac:dyDescent="0.3">
      <c r="A1810" t="s">
        <v>574</v>
      </c>
      <c r="B1810" t="s">
        <v>723</v>
      </c>
      <c r="C1810">
        <v>548.19000000000005</v>
      </c>
      <c r="D1810">
        <v>123.68</v>
      </c>
    </row>
    <row r="1811" spans="1:4" x14ac:dyDescent="0.3">
      <c r="A1811" t="s">
        <v>60</v>
      </c>
      <c r="B1811" t="s">
        <v>61</v>
      </c>
      <c r="C1811">
        <v>8109.07</v>
      </c>
      <c r="D1811">
        <v>2536.7199999999998</v>
      </c>
    </row>
    <row r="1812" spans="1:4" x14ac:dyDescent="0.3">
      <c r="A1812" t="s">
        <v>60</v>
      </c>
      <c r="B1812" t="s">
        <v>388</v>
      </c>
      <c r="C1812">
        <v>1545.82</v>
      </c>
      <c r="D1812">
        <v>362.47</v>
      </c>
    </row>
    <row r="1813" spans="1:4" x14ac:dyDescent="0.3">
      <c r="A1813" t="s">
        <v>60</v>
      </c>
      <c r="B1813" t="s">
        <v>603</v>
      </c>
      <c r="C1813">
        <v>1359.53</v>
      </c>
      <c r="D1813">
        <v>173.03</v>
      </c>
    </row>
    <row r="1814" spans="1:4" x14ac:dyDescent="0.3">
      <c r="A1814" t="s">
        <v>60</v>
      </c>
      <c r="B1814" t="s">
        <v>615</v>
      </c>
      <c r="C1814">
        <v>377.91</v>
      </c>
      <c r="D1814">
        <v>166.28</v>
      </c>
    </row>
    <row r="1815" spans="1:4" x14ac:dyDescent="0.3">
      <c r="A1815" t="s">
        <v>220</v>
      </c>
      <c r="B1815" t="s">
        <v>221</v>
      </c>
      <c r="C1815">
        <v>6084.14</v>
      </c>
      <c r="D1815">
        <v>697.14</v>
      </c>
    </row>
    <row r="1816" spans="1:4" x14ac:dyDescent="0.3">
      <c r="A1816" t="s">
        <v>220</v>
      </c>
      <c r="B1816" t="s">
        <v>232</v>
      </c>
      <c r="C1816">
        <v>1379.92</v>
      </c>
      <c r="D1816">
        <v>648.55999999999995</v>
      </c>
    </row>
    <row r="1817" spans="1:4" x14ac:dyDescent="0.3">
      <c r="A1817" t="s">
        <v>220</v>
      </c>
      <c r="B1817" t="s">
        <v>1245</v>
      </c>
      <c r="C1817">
        <v>99.06</v>
      </c>
      <c r="D1817">
        <v>40.770000000000003</v>
      </c>
    </row>
    <row r="1818" spans="1:4" x14ac:dyDescent="0.3">
      <c r="A1818" t="s">
        <v>748</v>
      </c>
      <c r="B1818" t="s">
        <v>749</v>
      </c>
      <c r="C1818">
        <v>528.78</v>
      </c>
      <c r="D1818">
        <v>118</v>
      </c>
    </row>
    <row r="1819" spans="1:4" x14ac:dyDescent="0.3">
      <c r="A1819" t="s">
        <v>748</v>
      </c>
      <c r="B1819" t="s">
        <v>2071</v>
      </c>
      <c r="C1819">
        <v>5184.08</v>
      </c>
      <c r="D1819">
        <v>-126.44</v>
      </c>
    </row>
    <row r="1820" spans="1:4" x14ac:dyDescent="0.3">
      <c r="A1820" t="s">
        <v>748</v>
      </c>
      <c r="B1820" t="s">
        <v>2110</v>
      </c>
      <c r="C1820">
        <v>763.67</v>
      </c>
      <c r="D1820">
        <v>-222.74</v>
      </c>
    </row>
    <row r="1821" spans="1:4" x14ac:dyDescent="0.3">
      <c r="A1821" t="s">
        <v>663</v>
      </c>
      <c r="B1821" t="s">
        <v>664</v>
      </c>
      <c r="C1821">
        <v>1119.19</v>
      </c>
      <c r="D1821">
        <v>147.09</v>
      </c>
    </row>
    <row r="1822" spans="1:4" x14ac:dyDescent="0.3">
      <c r="A1822" t="s">
        <v>663</v>
      </c>
      <c r="B1822" t="s">
        <v>794</v>
      </c>
      <c r="C1822">
        <v>1268.92</v>
      </c>
      <c r="D1822">
        <v>106.09</v>
      </c>
    </row>
    <row r="1823" spans="1:4" x14ac:dyDescent="0.3">
      <c r="A1823" t="s">
        <v>663</v>
      </c>
      <c r="B1823" t="s">
        <v>1042</v>
      </c>
      <c r="C1823">
        <v>235.78</v>
      </c>
      <c r="D1823">
        <v>58.94</v>
      </c>
    </row>
    <row r="1824" spans="1:4" x14ac:dyDescent="0.3">
      <c r="A1824" t="s">
        <v>1857</v>
      </c>
      <c r="B1824" t="s">
        <v>1858</v>
      </c>
      <c r="C1824">
        <v>13.44</v>
      </c>
      <c r="D1824">
        <v>0.54</v>
      </c>
    </row>
    <row r="1825" spans="1:4" x14ac:dyDescent="0.3">
      <c r="A1825" t="s">
        <v>1673</v>
      </c>
      <c r="B1825" t="s">
        <v>1674</v>
      </c>
      <c r="C1825">
        <v>46.26</v>
      </c>
      <c r="D1825">
        <v>12.03</v>
      </c>
    </row>
    <row r="1826" spans="1:4" x14ac:dyDescent="0.3">
      <c r="A1826" t="s">
        <v>371</v>
      </c>
      <c r="B1826" t="s">
        <v>372</v>
      </c>
      <c r="C1826">
        <v>1383.08</v>
      </c>
      <c r="D1826">
        <v>381.21</v>
      </c>
    </row>
    <row r="1827" spans="1:4" x14ac:dyDescent="0.3">
      <c r="A1827" t="s">
        <v>371</v>
      </c>
      <c r="B1827" t="s">
        <v>559</v>
      </c>
      <c r="C1827">
        <v>858.88</v>
      </c>
      <c r="D1827">
        <v>201.07</v>
      </c>
    </row>
    <row r="1828" spans="1:4" x14ac:dyDescent="0.3">
      <c r="A1828" t="s">
        <v>371</v>
      </c>
      <c r="B1828" t="s">
        <v>975</v>
      </c>
      <c r="C1828">
        <v>234.24</v>
      </c>
      <c r="D1828">
        <v>67.930000000000007</v>
      </c>
    </row>
    <row r="1829" spans="1:4" x14ac:dyDescent="0.3">
      <c r="A1829" t="s">
        <v>371</v>
      </c>
      <c r="B1829" t="s">
        <v>1006</v>
      </c>
      <c r="C1829">
        <v>301.97000000000003</v>
      </c>
      <c r="D1829">
        <v>63.75</v>
      </c>
    </row>
    <row r="1830" spans="1:4" x14ac:dyDescent="0.3">
      <c r="A1830" t="s">
        <v>371</v>
      </c>
      <c r="B1830" t="s">
        <v>1123</v>
      </c>
      <c r="C1830">
        <v>278.58999999999997</v>
      </c>
      <c r="D1830">
        <v>50.55</v>
      </c>
    </row>
    <row r="1831" spans="1:4" x14ac:dyDescent="0.3">
      <c r="A1831" t="s">
        <v>371</v>
      </c>
      <c r="B1831" t="s">
        <v>1285</v>
      </c>
      <c r="C1831">
        <v>149.26</v>
      </c>
      <c r="D1831">
        <v>37.409999999999997</v>
      </c>
    </row>
    <row r="1832" spans="1:4" x14ac:dyDescent="0.3">
      <c r="A1832" t="s">
        <v>371</v>
      </c>
      <c r="B1832" t="s">
        <v>1321</v>
      </c>
      <c r="C1832">
        <v>91.44</v>
      </c>
      <c r="D1832">
        <v>34.9</v>
      </c>
    </row>
    <row r="1833" spans="1:4" x14ac:dyDescent="0.3">
      <c r="A1833" t="s">
        <v>371</v>
      </c>
      <c r="B1833" t="s">
        <v>2117</v>
      </c>
      <c r="C1833">
        <v>1200.94</v>
      </c>
      <c r="D1833">
        <v>-256.56</v>
      </c>
    </row>
    <row r="1834" spans="1:4" x14ac:dyDescent="0.3">
      <c r="A1834" t="s">
        <v>1431</v>
      </c>
      <c r="B1834" t="s">
        <v>1432</v>
      </c>
      <c r="C1834">
        <v>207.18</v>
      </c>
      <c r="D1834">
        <v>25.9</v>
      </c>
    </row>
    <row r="1835" spans="1:4" x14ac:dyDescent="0.3">
      <c r="A1835" t="s">
        <v>1431</v>
      </c>
      <c r="B1835" t="s">
        <v>1903</v>
      </c>
      <c r="C1835">
        <v>54.47</v>
      </c>
      <c r="D1835">
        <v>-3.89</v>
      </c>
    </row>
    <row r="1836" spans="1:4" x14ac:dyDescent="0.3">
      <c r="A1836" t="s">
        <v>380</v>
      </c>
      <c r="B1836" t="s">
        <v>381</v>
      </c>
      <c r="C1836">
        <v>865.49</v>
      </c>
      <c r="D1836">
        <v>375.04</v>
      </c>
    </row>
    <row r="1837" spans="1:4" x14ac:dyDescent="0.3">
      <c r="A1837" t="s">
        <v>380</v>
      </c>
      <c r="B1837" t="s">
        <v>385</v>
      </c>
      <c r="C1837">
        <v>1320.23</v>
      </c>
      <c r="D1837">
        <v>362.71</v>
      </c>
    </row>
    <row r="1838" spans="1:4" x14ac:dyDescent="0.3">
      <c r="A1838" t="s">
        <v>380</v>
      </c>
      <c r="B1838" t="s">
        <v>510</v>
      </c>
      <c r="C1838">
        <v>669.5</v>
      </c>
      <c r="D1838">
        <v>234.32</v>
      </c>
    </row>
    <row r="1839" spans="1:4" x14ac:dyDescent="0.3">
      <c r="A1839" t="s">
        <v>380</v>
      </c>
      <c r="B1839" t="s">
        <v>1124</v>
      </c>
      <c r="C1839">
        <v>755.94</v>
      </c>
      <c r="D1839">
        <v>50.4</v>
      </c>
    </row>
    <row r="1840" spans="1:4" x14ac:dyDescent="0.3">
      <c r="A1840" t="s">
        <v>380</v>
      </c>
      <c r="B1840" t="s">
        <v>1565</v>
      </c>
      <c r="C1840">
        <v>45.92</v>
      </c>
      <c r="D1840">
        <v>17.88</v>
      </c>
    </row>
    <row r="1841" spans="1:4" x14ac:dyDescent="0.3">
      <c r="A1841" t="s">
        <v>380</v>
      </c>
      <c r="B1841" t="s">
        <v>1700</v>
      </c>
      <c r="C1841">
        <v>42.64</v>
      </c>
      <c r="D1841">
        <v>10.039999999999999</v>
      </c>
    </row>
    <row r="1842" spans="1:4" x14ac:dyDescent="0.3">
      <c r="A1842" t="s">
        <v>1353</v>
      </c>
      <c r="B1842" t="s">
        <v>1354</v>
      </c>
      <c r="C1842">
        <v>70.19</v>
      </c>
      <c r="D1842">
        <v>31.63</v>
      </c>
    </row>
    <row r="1843" spans="1:4" x14ac:dyDescent="0.3">
      <c r="A1843" t="s">
        <v>1591</v>
      </c>
      <c r="B1843" t="s">
        <v>1592</v>
      </c>
      <c r="C1843">
        <v>91.73</v>
      </c>
      <c r="D1843">
        <v>16.29</v>
      </c>
    </row>
    <row r="1844" spans="1:4" x14ac:dyDescent="0.3">
      <c r="A1844" t="s">
        <v>190</v>
      </c>
      <c r="B1844" t="s">
        <v>191</v>
      </c>
      <c r="C1844">
        <v>2879.82</v>
      </c>
      <c r="D1844">
        <v>763.15</v>
      </c>
    </row>
    <row r="1845" spans="1:4" x14ac:dyDescent="0.3">
      <c r="A1845" t="s">
        <v>190</v>
      </c>
      <c r="B1845" t="s">
        <v>271</v>
      </c>
      <c r="C1845">
        <v>1320.57</v>
      </c>
      <c r="D1845">
        <v>542.9</v>
      </c>
    </row>
    <row r="1846" spans="1:4" x14ac:dyDescent="0.3">
      <c r="A1846" t="s">
        <v>190</v>
      </c>
      <c r="B1846" t="s">
        <v>803</v>
      </c>
      <c r="C1846">
        <v>256.12</v>
      </c>
      <c r="D1846">
        <v>102.45</v>
      </c>
    </row>
    <row r="1847" spans="1:4" x14ac:dyDescent="0.3">
      <c r="A1847" t="s">
        <v>190</v>
      </c>
      <c r="B1847" t="s">
        <v>833</v>
      </c>
      <c r="C1847">
        <v>476.16</v>
      </c>
      <c r="D1847">
        <v>94.44</v>
      </c>
    </row>
    <row r="1848" spans="1:4" x14ac:dyDescent="0.3">
      <c r="A1848" t="s">
        <v>190</v>
      </c>
      <c r="B1848" t="s">
        <v>976</v>
      </c>
      <c r="C1848">
        <v>279.3</v>
      </c>
      <c r="D1848">
        <v>67.78</v>
      </c>
    </row>
    <row r="1849" spans="1:4" x14ac:dyDescent="0.3">
      <c r="A1849" t="s">
        <v>190</v>
      </c>
      <c r="B1849" t="s">
        <v>1235</v>
      </c>
      <c r="C1849">
        <v>184.05</v>
      </c>
      <c r="D1849">
        <v>41.57</v>
      </c>
    </row>
    <row r="1850" spans="1:4" x14ac:dyDescent="0.3">
      <c r="A1850" t="s">
        <v>190</v>
      </c>
      <c r="B1850" t="s">
        <v>1282</v>
      </c>
      <c r="C1850">
        <v>116.22</v>
      </c>
      <c r="D1850">
        <v>37.5</v>
      </c>
    </row>
  </sheetData>
  <conditionalFormatting sqref="C2:D1850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79CA-2C24-4A10-A8AD-A59E06FF2539}">
  <dimension ref="A1:F12"/>
  <sheetViews>
    <sheetView workbookViewId="0"/>
  </sheetViews>
  <sheetFormatPr baseColWidth="10" defaultRowHeight="14.4" x14ac:dyDescent="0.3"/>
  <cols>
    <col min="2" max="2" width="10.5546875" bestFit="1" customWidth="1"/>
    <col min="4" max="4" width="23.44140625" customWidth="1"/>
    <col min="12" max="12" width="23.44140625" customWidth="1"/>
  </cols>
  <sheetData>
    <row r="1" spans="1:6" x14ac:dyDescent="0.3">
      <c r="A1" t="s">
        <v>2197</v>
      </c>
      <c r="B1" t="s">
        <v>2198</v>
      </c>
      <c r="C1" t="s">
        <v>2199</v>
      </c>
      <c r="D1" t="s">
        <v>2200</v>
      </c>
      <c r="E1" t="s">
        <v>2201</v>
      </c>
      <c r="F1" t="s">
        <v>2202</v>
      </c>
    </row>
    <row r="2" spans="1:6" x14ac:dyDescent="0.3">
      <c r="A2">
        <v>2026</v>
      </c>
      <c r="B2" s="4">
        <v>46023</v>
      </c>
      <c r="C2" t="s">
        <v>2203</v>
      </c>
      <c r="D2" t="s">
        <v>2208</v>
      </c>
      <c r="E2" t="s">
        <v>2213</v>
      </c>
      <c r="F2" t="s">
        <v>2215</v>
      </c>
    </row>
    <row r="3" spans="1:6" x14ac:dyDescent="0.3">
      <c r="A3">
        <v>2026</v>
      </c>
      <c r="B3" s="4">
        <v>46024</v>
      </c>
      <c r="C3" t="s">
        <v>2204</v>
      </c>
      <c r="D3" t="s">
        <v>2209</v>
      </c>
      <c r="E3" t="s">
        <v>2214</v>
      </c>
      <c r="F3">
        <v>-8000</v>
      </c>
    </row>
    <row r="4" spans="1:6" x14ac:dyDescent="0.3">
      <c r="A4">
        <v>2026</v>
      </c>
      <c r="B4" s="4">
        <v>46025</v>
      </c>
      <c r="C4" t="s">
        <v>2205</v>
      </c>
      <c r="D4" t="s">
        <v>2210</v>
      </c>
      <c r="E4" t="s">
        <v>2214</v>
      </c>
      <c r="F4">
        <v>-150.5</v>
      </c>
    </row>
    <row r="5" spans="1:6" x14ac:dyDescent="0.3">
      <c r="A5">
        <v>2026</v>
      </c>
      <c r="B5" s="4">
        <v>46026</v>
      </c>
      <c r="C5" t="s">
        <v>2206</v>
      </c>
      <c r="D5" t="s">
        <v>2211</v>
      </c>
      <c r="E5" t="s">
        <v>2214</v>
      </c>
      <c r="F5">
        <v>-60</v>
      </c>
    </row>
    <row r="6" spans="1:6" ht="15" thickBot="1" x14ac:dyDescent="0.35">
      <c r="A6">
        <v>2026</v>
      </c>
      <c r="B6" s="4">
        <v>46027</v>
      </c>
      <c r="C6" t="s">
        <v>2207</v>
      </c>
      <c r="D6" t="s">
        <v>2212</v>
      </c>
      <c r="E6" t="s">
        <v>2213</v>
      </c>
      <c r="F6" t="s">
        <v>2216</v>
      </c>
    </row>
    <row r="7" spans="1:6" x14ac:dyDescent="0.3">
      <c r="A7" s="6">
        <v>2025</v>
      </c>
      <c r="B7" s="7">
        <v>45658</v>
      </c>
      <c r="C7" s="6" t="s">
        <v>2203</v>
      </c>
      <c r="D7" s="6" t="s">
        <v>2208</v>
      </c>
      <c r="E7" s="6" t="s">
        <v>2213</v>
      </c>
      <c r="F7" s="8" t="s">
        <v>2215</v>
      </c>
    </row>
    <row r="8" spans="1:6" x14ac:dyDescent="0.3">
      <c r="A8" s="9">
        <v>2025</v>
      </c>
      <c r="B8" s="10">
        <v>45659</v>
      </c>
      <c r="C8" s="9" t="s">
        <v>2204</v>
      </c>
      <c r="D8" s="9" t="s">
        <v>2209</v>
      </c>
      <c r="E8" s="9" t="s">
        <v>2214</v>
      </c>
      <c r="F8" s="11">
        <v>-8000</v>
      </c>
    </row>
    <row r="9" spans="1:6" x14ac:dyDescent="0.3">
      <c r="A9" s="12">
        <v>2025</v>
      </c>
      <c r="B9" s="13">
        <v>45660</v>
      </c>
      <c r="C9" s="12" t="s">
        <v>2205</v>
      </c>
      <c r="D9" s="12" t="s">
        <v>2210</v>
      </c>
      <c r="E9" s="12" t="s">
        <v>2214</v>
      </c>
      <c r="F9" s="14">
        <v>-150.5</v>
      </c>
    </row>
    <row r="10" spans="1:6" x14ac:dyDescent="0.3">
      <c r="A10" s="9">
        <v>2025</v>
      </c>
      <c r="B10" s="10">
        <v>45661</v>
      </c>
      <c r="C10" s="9" t="s">
        <v>2206</v>
      </c>
      <c r="D10" s="9" t="s">
        <v>2211</v>
      </c>
      <c r="E10" s="9" t="s">
        <v>2214</v>
      </c>
      <c r="F10" s="11">
        <v>-60</v>
      </c>
    </row>
    <row r="11" spans="1:6" x14ac:dyDescent="0.3">
      <c r="A11" s="15">
        <v>2025</v>
      </c>
      <c r="B11" s="16">
        <v>45662</v>
      </c>
      <c r="C11" s="15" t="s">
        <v>2207</v>
      </c>
      <c r="D11" s="15" t="s">
        <v>2212</v>
      </c>
      <c r="E11" s="15" t="s">
        <v>2213</v>
      </c>
      <c r="F11" s="5" t="s">
        <v>2216</v>
      </c>
    </row>
    <row r="12" spans="1:6" x14ac:dyDescent="0.3">
      <c r="F12">
        <f>SUM(F2:F11)</f>
        <v>-16421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BA6C4-1DD3-4F94-B230-0F74E0ABCA26}">
  <dimension ref="A1:F6"/>
  <sheetViews>
    <sheetView workbookViewId="0"/>
  </sheetViews>
  <sheetFormatPr baseColWidth="10" defaultRowHeight="14.4" x14ac:dyDescent="0.3"/>
  <sheetData>
    <row r="1" spans="1:6" x14ac:dyDescent="0.3">
      <c r="A1" t="s">
        <v>2197</v>
      </c>
      <c r="B1" t="s">
        <v>2198</v>
      </c>
      <c r="C1" t="s">
        <v>2199</v>
      </c>
      <c r="D1" t="s">
        <v>2200</v>
      </c>
      <c r="E1" t="s">
        <v>2201</v>
      </c>
      <c r="F1" t="s">
        <v>2202</v>
      </c>
    </row>
    <row r="2" spans="1:6" x14ac:dyDescent="0.3">
      <c r="A2">
        <v>2026</v>
      </c>
      <c r="B2" s="4">
        <v>46023</v>
      </c>
      <c r="C2" t="s">
        <v>2203</v>
      </c>
      <c r="D2" t="s">
        <v>2208</v>
      </c>
      <c r="E2" t="s">
        <v>2213</v>
      </c>
      <c r="F2" t="s">
        <v>2215</v>
      </c>
    </row>
    <row r="3" spans="1:6" x14ac:dyDescent="0.3">
      <c r="A3">
        <v>2026</v>
      </c>
      <c r="B3" s="4">
        <v>46024</v>
      </c>
      <c r="C3" t="s">
        <v>2204</v>
      </c>
      <c r="D3" t="s">
        <v>2209</v>
      </c>
      <c r="E3" t="s">
        <v>2214</v>
      </c>
      <c r="F3">
        <v>-8000</v>
      </c>
    </row>
    <row r="4" spans="1:6" x14ac:dyDescent="0.3">
      <c r="A4">
        <v>2026</v>
      </c>
      <c r="B4" s="4">
        <v>46025</v>
      </c>
      <c r="C4" t="s">
        <v>2205</v>
      </c>
      <c r="D4" t="s">
        <v>2210</v>
      </c>
      <c r="E4" t="s">
        <v>2214</v>
      </c>
      <c r="F4">
        <v>-150.5</v>
      </c>
    </row>
    <row r="5" spans="1:6" x14ac:dyDescent="0.3">
      <c r="A5">
        <v>2026</v>
      </c>
      <c r="B5" s="4">
        <v>46026</v>
      </c>
      <c r="C5" t="s">
        <v>2206</v>
      </c>
      <c r="D5" t="s">
        <v>2211</v>
      </c>
      <c r="E5" t="s">
        <v>2214</v>
      </c>
      <c r="F5">
        <v>-60</v>
      </c>
    </row>
    <row r="6" spans="1:6" ht="15" x14ac:dyDescent="0.35">
      <c r="A6">
        <v>2026</v>
      </c>
      <c r="B6" s="4">
        <v>46027</v>
      </c>
      <c r="C6" t="s">
        <v>2207</v>
      </c>
      <c r="D6" t="s">
        <v>2212</v>
      </c>
      <c r="E6" t="s">
        <v>2213</v>
      </c>
      <c r="F6" t="s">
        <v>2216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B56C1-5A76-4280-9DAF-D06C2476F881}">
  <dimension ref="A1:F6"/>
  <sheetViews>
    <sheetView workbookViewId="0"/>
  </sheetViews>
  <sheetFormatPr baseColWidth="10" defaultRowHeight="14.4" x14ac:dyDescent="0.3"/>
  <sheetData>
    <row r="1" spans="1:6" x14ac:dyDescent="0.3">
      <c r="A1" t="s">
        <v>2197</v>
      </c>
      <c r="B1" t="s">
        <v>2198</v>
      </c>
      <c r="C1" t="s">
        <v>2199</v>
      </c>
      <c r="D1" t="s">
        <v>2200</v>
      </c>
      <c r="E1" t="s">
        <v>2201</v>
      </c>
      <c r="F1" t="s">
        <v>2202</v>
      </c>
    </row>
    <row r="2" spans="1:6" x14ac:dyDescent="0.3">
      <c r="A2">
        <v>2025</v>
      </c>
      <c r="B2" s="4">
        <v>45658</v>
      </c>
      <c r="C2" t="s">
        <v>2203</v>
      </c>
      <c r="D2" t="s">
        <v>2208</v>
      </c>
      <c r="E2" t="s">
        <v>2213</v>
      </c>
      <c r="F2" t="s">
        <v>2215</v>
      </c>
    </row>
    <row r="3" spans="1:6" x14ac:dyDescent="0.3">
      <c r="A3">
        <v>2025</v>
      </c>
      <c r="B3" s="4">
        <v>45659</v>
      </c>
      <c r="C3" t="s">
        <v>2204</v>
      </c>
      <c r="D3" t="s">
        <v>2209</v>
      </c>
      <c r="E3" t="s">
        <v>2214</v>
      </c>
      <c r="F3">
        <v>-8000</v>
      </c>
    </row>
    <row r="4" spans="1:6" x14ac:dyDescent="0.3">
      <c r="A4">
        <v>2025</v>
      </c>
      <c r="B4" s="4">
        <v>45660</v>
      </c>
      <c r="C4" t="s">
        <v>2205</v>
      </c>
      <c r="D4" t="s">
        <v>2210</v>
      </c>
      <c r="E4" t="s">
        <v>2214</v>
      </c>
      <c r="F4">
        <v>-150.5</v>
      </c>
    </row>
    <row r="5" spans="1:6" x14ac:dyDescent="0.3">
      <c r="A5">
        <v>2025</v>
      </c>
      <c r="B5" s="4">
        <v>45661</v>
      </c>
      <c r="C5" t="s">
        <v>2206</v>
      </c>
      <c r="D5" t="s">
        <v>2211</v>
      </c>
      <c r="E5" t="s">
        <v>2214</v>
      </c>
      <c r="F5">
        <v>-60</v>
      </c>
    </row>
    <row r="6" spans="1:6" ht="15" x14ac:dyDescent="0.35">
      <c r="A6">
        <v>2025</v>
      </c>
      <c r="B6" s="4">
        <v>45662</v>
      </c>
      <c r="C6" t="s">
        <v>2207</v>
      </c>
      <c r="D6" t="s">
        <v>2212</v>
      </c>
      <c r="E6" t="s">
        <v>2213</v>
      </c>
      <c r="F6" t="s">
        <v>2216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A32D1-C379-4BCA-8F21-AC99589719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01_Executive_Summary</vt:lpstr>
      <vt:lpstr>02_Category_Analysis</vt:lpstr>
      <vt:lpstr>03_Subcategory_Analysis</vt:lpstr>
      <vt:lpstr>05_Discount_Analysis</vt:lpstr>
      <vt:lpstr>06_Regional_Analysis</vt:lpstr>
      <vt:lpstr>07_Dashboard</vt:lpstr>
      <vt:lpstr>City Profit</vt:lpstr>
      <vt:lpstr>Ventas</vt:lpstr>
      <vt:lpstr>Ventas 2026</vt:lpstr>
      <vt:lpstr>Ventas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Luz Avilés Florentino</dc:creator>
  <cp:lastModifiedBy>Ana Luz Avilés Florentino</cp:lastModifiedBy>
  <cp:lastPrinted>2026-06-13T15:17:25Z</cp:lastPrinted>
  <dcterms:created xsi:type="dcterms:W3CDTF">2026-05-30T14:24:54Z</dcterms:created>
  <dcterms:modified xsi:type="dcterms:W3CDTF">2026-06-13T15:57:02Z</dcterms:modified>
</cp:coreProperties>
</file>